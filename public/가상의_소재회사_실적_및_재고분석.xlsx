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카테고리별 실적 및 재고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<sst xmlns="http://schemas.openxmlformats.org/spreadsheetml/2006/main" count="44" uniqueCount="41">
  <si>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26년 03월 소재 카테고리별 실적 및 재고</t>
  </si>
  <si>
    <t>(단위: 천원, %, kg)</t>
  </si>
  <si>
    <t>구분</t>
  </si>
  <si>
    <t>매출</t>
  </si>
  <si>
    <t>재고</t>
  </si>
  <si>
    <t>총매출</t>
  </si>
  <si>
    <t>순매출</t>
  </si>
  <si>
    <t>전월</t>
  </si>
  <si>
    <t>전월대비</t>
  </si>
  <si>
    <t>총비용</t>
  </si>
  <si>
    <t>%</t>
  </si>
  <si>
    <t>DC</t>
  </si>
  <si>
    <t>판촉비</t>
  </si>
  <si>
    <t>정산료</t>
  </si>
  <si>
    <t>원가</t>
  </si>
  <si>
    <t>보상액</t>
  </si>
  <si>
    <t>한계이익</t>
  </si>
  <si>
    <t>기말재고</t>
  </si>
  <si>
    <t>판매가능수량</t>
  </si>
  <si>
    <t>기초재고</t>
  </si>
  <si>
    <t>입출고재고</t>
  </si>
  <si>
    <t>반도체 정밀소재</t>
  </si>
  <si>
    <t>EPX-01 (에폭시 몰딩 EMC)</t>
  </si>
  <si>
    <t>SOL-02 (초고순도 세정용제)</t>
  </si>
  <si>
    <t>CL-03 (웨이퍼 표면세정제)</t>
  </si>
  <si>
    <t>이차전지 첨단소재</t>
  </si>
  <si>
    <t>TCF-01 (방열 세라믹 필러)</t>
  </si>
  <si>
    <t>BND-02 (음극용 수계바인더)</t>
  </si>
  <si>
    <t>SEP-03 (분리막 세라믹 코팅)</t>
  </si>
  <si>
    <t>디스플레이/전장소재</t>
  </si>
  <si>
    <t>SHC-01 (하이브리드 코팅제)</t>
  </si>
  <si>
    <t>OPT-02 (광학용 투명 점착제)</t>
  </si>
  <si>
    <t>FLM-03 (전자파 차폐 나노소재)</t>
  </si>
  <si>
    <t>전체</t>
  </si>
  <si>
    <t>[ 차트 실시간 연동 데이터 (수식 연결) ]</t>
  </si>
  <si>
    <t>1월 실적</t>
  </si>
  <si>
    <t>2월 실적</t>
  </si>
  <si>
    <t>3월 총매출</t>
  </si>
  <si>
    <t>3월 총비용</t>
  </si>
  <si>
    <t>3월 한계이익</t>
  </si>
  <si>
    <t>합계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</si>
</sst>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;[Red]▼0.0%;0.0%"/>
    <numFmt numFmtId="166" formatCode="0.0%"/>
  </numFmts>
  <fonts count="9">
    <font>
      <sz val="11"/>
      <color theme="1"/>
      <name val="Calibri"/>
      <family val="2"/>
      <scheme val="minor"/>
    </font>
    <font>
      <b/>
      <sz val="16"/>
      <color theme="1"/>
      <name val="맑은 고딕"/>
      <family val="2"/>
    </font>
    <font>
      <sz val="9"/>
      <color rgb="FF595959"/>
      <name val="맑은 고딕"/>
      <family val="2"/>
    </font>
    <font>
      <b/>
      <sz val="9.5"/>
      <color rgb="FFFFFFFF"/>
      <name val="맑은 고딕"/>
      <family val="2"/>
    </font>
    <font>
      <b/>
      <sz val="9"/>
      <color rgb="FFFFFFFF"/>
      <name val="맑은 고딕"/>
      <family val="2"/>
    </font>
    <font>
      <b/>
      <sz val="9.5"/>
      <color theme="1"/>
      <name val="맑은 고딕"/>
      <family val="2"/>
    </font>
    <font>
      <b/>
      <sz val="9"/>
      <color theme="1"/>
      <name val="맑은 고딕"/>
      <family val="2"/>
    </font>
    <font>
      <sz val="9"/>
      <color theme="1"/>
      <name val="맑은 고딕"/>
      <family val="2"/>
    </font>
    <font>
      <sz val="8.5"/>
      <color rgb="FF333333"/>
      <name val="맑은 고딕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002060"/>
      </top>
      <bottom style="double">
        <color rgb="FF00206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right" vertical="center"/>
    </xf>
    <xf numFmtId="165" fontId="5" fillId="5" borderId="3" xfId="0" applyNumberFormat="1" applyFont="1" applyFill="1" applyBorder="1" applyAlignment="1">
      <alignment horizontal="right" vertical="center"/>
    </xf>
    <xf numFmtId="166" fontId="5" fillId="5" borderId="3" xfId="0" applyNumberFormat="1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right" vertical="center"/>
    </xf>
    <xf numFmtId="0" fontId="6" fillId="7" borderId="4" xfId="0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right" vertical="center"/>
    </xf>
    <xf numFmtId="165" fontId="6" fillId="7" borderId="4" xfId="0" applyNumberFormat="1" applyFont="1" applyFill="1" applyBorder="1" applyAlignment="1">
      <alignment horizontal="right" vertical="center"/>
    </xf>
    <xf numFmtId="166" fontId="6" fillId="7" borderId="4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horizontal="left" vertical="center" indent="1"/>
    </xf>
    <xf numFmtId="164" fontId="8" fillId="0" borderId="5" xfId="0" applyNumberFormat="1" applyFont="1" applyBorder="1" applyAlignment="1">
      <alignment horizontal="right" vertical="center"/>
    </xf>
    <xf numFmtId="165" fontId="8" fillId="0" borderId="5" xfId="0" applyNumberFormat="1" applyFont="1" applyBorder="1" applyAlignment="1">
      <alignment horizontal="right" vertical="center"/>
    </xf>
    <xf numFmtId="166" fontId="8" fillId="0" borderId="5" xfId="0" applyNumberFormat="1" applyFont="1" applyBorder="1" applyAlignment="1">
      <alignment horizontal="right" vertical="center"/>
    </xf>
    <xf numFmtId="0" fontId="6" fillId="5" borderId="6" xfId="0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맑은 고딕"/>
              </a:defRPr>
            </a:pPr>
            <a:r>
              <a:rPr lang="en-US" sz="1100" b="1" baseline="0">
                <a:latin typeface="맑은 고딕"/>
              </a:rPr>
              <a:t>직전 3개월 총매출 현황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'카테고리별 실적 및 재고'!$W$5</c:f>
              <c:strCache>
                <c:ptCount val="1"/>
                <c:pt idx="0">
                  <c:v>1월 실적</c:v>
                </c:pt>
              </c:strCache>
            </c:strRef>
          </c:tx>
          <c:spPr>
            <a:solidFill>
              <a:srgbClr val="41719C"/>
            </a:solidFill>
          </c:spPr>
          <c:cat>
            <c:strRef>
              <c:f>'카테고리별 실적 및 재고'!$V$6:$V$8</c:f>
              <c:strCache>
                <c:ptCount val="3"/>
                <c:pt idx="0">
                  <c:v>반도체 정밀소재</c:v>
                </c:pt>
                <c:pt idx="1">
                  <c:v>이차전지 첨단소재</c:v>
                </c:pt>
                <c:pt idx="2">
                  <c:v>디스플레이/전장소재</c:v>
                </c:pt>
              </c:strCache>
            </c:strRef>
          </c:cat>
          <c:val>
            <c:numRef>
              <c:f>'카테고리별 실적 및 재고'!$W$6:$W$8</c:f>
              <c:numCache>
                <c:formatCode>General</c:formatCode>
                <c:ptCount val="3"/>
                <c:pt idx="0">
                  <c:v>108000</c:v>
                </c:pt>
                <c:pt idx="1">
                  <c:v>85000</c:v>
                </c:pt>
                <c:pt idx="2">
                  <c:v>70000</c:v>
                </c:pt>
              </c:numCache>
            </c:numRef>
          </c:val>
        </c:ser>
        <c:ser>
          <c:idx val="1"/>
          <c:order val="1"/>
          <c:tx>
            <c:strRef>
              <c:f>'카테고리별 실적 및 재고'!$X$5</c:f>
              <c:strCache>
                <c:ptCount val="1"/>
                <c:pt idx="0">
                  <c:v>2월 실적</c:v>
                </c:pt>
              </c:strCache>
            </c:strRef>
          </c:tx>
          <c:spPr>
            <a:solidFill>
              <a:srgbClr val="2F5597"/>
            </a:solidFill>
          </c:spPr>
          <c:cat>
            <c:strRef>
              <c:f>'카테고리별 실적 및 재고'!$V$6:$V$8</c:f>
              <c:strCache>
                <c:ptCount val="3"/>
                <c:pt idx="0">
                  <c:v>반도체 정밀소재</c:v>
                </c:pt>
                <c:pt idx="1">
                  <c:v>이차전지 첨단소재</c:v>
                </c:pt>
                <c:pt idx="2">
                  <c:v>디스플레이/전장소재</c:v>
                </c:pt>
              </c:strCache>
            </c:strRef>
          </c:cat>
          <c:val>
            <c:numRef>
              <c:f>'카테고리별 실적 및 재고'!$X$6:$X$8</c:f>
              <c:numCache>
                <c:formatCode>General</c:formatCode>
                <c:ptCount val="3"/>
                <c:pt idx="0">
                  <c:v>110653</c:v>
                </c:pt>
                <c:pt idx="1">
                  <c:v>89351</c:v>
                </c:pt>
                <c:pt idx="2">
                  <c:v>73531</c:v>
                </c:pt>
              </c:numCache>
            </c:numRef>
          </c:val>
        </c:ser>
        <c:ser>
          <c:idx val="2"/>
          <c:order val="2"/>
          <c:tx>
            <c:strRef>
              <c:f>'카테고리별 실적 및 재고'!$Y$5</c:f>
              <c:strCache>
                <c:ptCount val="1"/>
                <c:pt idx="0">
                  <c:v>3월 총매출</c:v>
                </c:pt>
              </c:strCache>
            </c:strRef>
          </c:tx>
          <c:spPr>
            <a:solidFill>
              <a:srgbClr val="002060"/>
            </a:solidFill>
          </c:spPr>
          <c:cat>
            <c:strRef>
              <c:f>'카테고리별 실적 및 재고'!$V$6:$V$8</c:f>
              <c:strCache>
                <c:ptCount val="3"/>
                <c:pt idx="0">
                  <c:v>반도체 정밀소재</c:v>
                </c:pt>
                <c:pt idx="1">
                  <c:v>이차전지 첨단소재</c:v>
                </c:pt>
                <c:pt idx="2">
                  <c:v>디스플레이/전장소재</c:v>
                </c:pt>
              </c:strCache>
            </c:strRef>
          </c:cat>
          <c:val>
            <c:numRef>
              <c:f>'카테고리별 실적 및 재고'!$Y$6:$Y$8</c:f>
              <c:numCache>
                <c:formatCode>General</c:formatCode>
                <c:ptCount val="3"/>
                <c:pt idx="0">
                  <c:v>127824</c:v>
                </c:pt>
                <c:pt idx="1">
                  <c:v>90954</c:v>
                </c:pt>
                <c:pt idx="2">
                  <c:v>92132</c:v>
                </c:pt>
              </c:numCache>
            </c:numRef>
          </c:val>
        </c:ser>
        <c:gapWidth val="15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50" baseline="0">
                <a:latin typeface="맑은 고딕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E0E0E0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850" baseline="0">
                <a:latin typeface="맑은 고딕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맑은 고딕"/>
              </a:defRPr>
            </a:pPr>
            <a:r>
              <a:rPr lang="en-US" sz="1100" b="1" baseline="0">
                <a:latin typeface="맑은 고딕"/>
              </a:rPr>
              <a:t>'26.03 _ 총매출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'26.03 _ 총매출 비중</c:v>
          </c:tx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2F5597"/>
              </a:solidFill>
            </c:spPr>
          </c:dPt>
          <c:dPt>
            <c:idx val="2"/>
            <c:spPr>
              <a:solidFill>
                <a:srgbClr val="5B9BD5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latin typeface="맑은 고딕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'카테고리별 실적 및 재고'!$V$6:$V$8</c:f>
              <c:strCache>
                <c:ptCount val="3"/>
                <c:pt idx="0">
                  <c:v>반도체 정밀소재</c:v>
                </c:pt>
                <c:pt idx="1">
                  <c:v>이차전지 첨단소재</c:v>
                </c:pt>
                <c:pt idx="2">
                  <c:v>디스플레이/전장소재</c:v>
                </c:pt>
              </c:strCache>
            </c:strRef>
          </c:cat>
          <c:val>
            <c:numRef>
              <c:f>'카테고리별 실적 및 재고'!$Y$6:$Y$8</c:f>
              <c:numCache>
                <c:formatCode>General</c:formatCode>
                <c:ptCount val="3"/>
                <c:pt idx="0">
                  <c:v>127824</c:v>
                </c:pt>
                <c:pt idx="1">
                  <c:v>90954</c:v>
                </c:pt>
                <c:pt idx="2">
                  <c:v>92132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맑은 고딕"/>
              </a:defRPr>
            </a:pPr>
            <a:r>
              <a:rPr lang="en-US" sz="1100" b="1" baseline="0">
                <a:latin typeface="맑은 고딕"/>
              </a:rPr>
              <a:t>'26.03 _ 총비용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'26.03 _ 총비용 비중</c:v>
          </c:tx>
          <c:dPt>
            <c:idx val="0"/>
            <c:spPr>
              <a:solidFill>
                <a:srgbClr val="C00000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F4B183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latin typeface="맑은 고딕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'카테고리별 실적 및 재고'!$V$6:$V$8</c:f>
              <c:strCache>
                <c:ptCount val="3"/>
                <c:pt idx="0">
                  <c:v>반도체 정밀소재</c:v>
                </c:pt>
                <c:pt idx="1">
                  <c:v>이차전지 첨단소재</c:v>
                </c:pt>
                <c:pt idx="2">
                  <c:v>디스플레이/전장소재</c:v>
                </c:pt>
              </c:strCache>
            </c:strRef>
          </c:cat>
          <c:val>
            <c:numRef>
              <c:f>'카테고리별 실적 및 재고'!$Z$6:$Z$8</c:f>
              <c:numCache>
                <c:formatCode>General</c:formatCode>
                <c:ptCount val="3"/>
                <c:pt idx="0">
                  <c:v>22093</c:v>
                </c:pt>
                <c:pt idx="1">
                  <c:v>16358</c:v>
                </c:pt>
                <c:pt idx="2">
                  <c:v>19048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맑은 고딕"/>
              </a:defRPr>
            </a:pPr>
            <a:r>
              <a:rPr lang="en-US" sz="1100" b="1" baseline="0">
                <a:latin typeface="맑은 고딕"/>
              </a:rPr>
              <a:t>'26.03 _ 한계이익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'26.03 _ 한계이익 비중</c:v>
          </c:tx>
          <c:dPt>
            <c:idx val="0"/>
            <c:spPr>
              <a:solidFill>
                <a:srgbClr val="385723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Pt>
            <c:idx val="2"/>
            <c:spPr>
              <a:solidFill>
                <a:srgbClr val="A9D18E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latin typeface="맑은 고딕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'카테고리별 실적 및 재고'!$V$6:$V$8</c:f>
              <c:strCache>
                <c:ptCount val="3"/>
                <c:pt idx="0">
                  <c:v>반도체 정밀소재</c:v>
                </c:pt>
                <c:pt idx="1">
                  <c:v>이차전지 첨단소재</c:v>
                </c:pt>
                <c:pt idx="2">
                  <c:v>디스플레이/전장소재</c:v>
                </c:pt>
              </c:strCache>
            </c:strRef>
          </c:cat>
          <c:val>
            <c:numRef>
              <c:f>'카테고리별 실적 및 재고'!$AA$6:$AA$8</c:f>
              <c:numCache>
                <c:formatCode>General</c:formatCode>
                <c:ptCount val="3"/>
                <c:pt idx="0">
                  <c:v>65251</c:v>
                </c:pt>
                <c:pt idx="1">
                  <c:v>45163</c:v>
                </c:pt>
                <c:pt idx="2">
                  <c:v>43627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4</xdr:col>
      <xdr:colOff>161925</xdr:colOff>
      <xdr:row>32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10</xdr:col>
      <xdr:colOff>57150</xdr:colOff>
      <xdr:row>32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57150</xdr:colOff>
      <xdr:row>32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20</xdr:row>
      <xdr:rowOff>0</xdr:rowOff>
    </xdr:from>
    <xdr:to>
      <xdr:col>18</xdr:col>
      <xdr:colOff>438150</xdr:colOff>
      <xdr:row>32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18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5" width="12.7109375" customWidth="1"/>
    <col min="6" max="6" width="10.7109375" customWidth="1"/>
    <col min="7" max="7" width="11.7109375" customWidth="1"/>
    <col min="8" max="8" width="8.7109375" customWidth="1"/>
    <col min="9" max="11" width="9.7109375" customWidth="1"/>
    <col min="12" max="12" width="11.7109375" customWidth="1"/>
    <col min="13" max="13" width="8.7109375" customWidth="1"/>
    <col min="14" max="14" width="9.7109375" customWidth="1"/>
    <col min="15" max="15" width="12.7109375" customWidth="1"/>
    <col min="16" max="16" width="8.7109375" customWidth="1"/>
    <col min="17" max="17" width="13.7109375" customWidth="1"/>
    <col min="18" max="18" width="11.7109375" customWidth="1"/>
    <col min="19" max="20" width="13.7109375" customWidth="1"/>
    <col min="21" max="21" width="4.7109375" customWidth="1"/>
    <col min="22" max="22" width="20.7109375" customWidth="1"/>
    <col min="23" max="27" width="12.7109375" customWidth="1"/>
  </cols>
  <sheetData>
    <row r="2" spans="2:27" ht="3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7" ht="18" customHeight="1">
      <c r="R3" s="2" t="s">
        <v>1</v>
      </c>
      <c r="S3" s="2"/>
      <c r="T3" s="2"/>
    </row>
    <row r="4" spans="2:27" ht="20" customHeight="1">
      <c r="B4" s="3" t="s">
        <v>2</v>
      </c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 t="s">
        <v>4</v>
      </c>
      <c r="R4" s="3"/>
      <c r="S4" s="3"/>
      <c r="T4" s="3"/>
      <c r="V4" s="4" t="s">
        <v>34</v>
      </c>
      <c r="W4" s="4"/>
      <c r="X4" s="4"/>
      <c r="Y4" s="4"/>
      <c r="Z4" s="4"/>
      <c r="AA4" s="4"/>
    </row>
    <row r="5" spans="2:27" ht="22" customHeight="1">
      <c r="B5" s="3"/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10</v>
      </c>
      <c r="N5" s="5" t="s">
        <v>15</v>
      </c>
      <c r="O5" s="5" t="s">
        <v>16</v>
      </c>
      <c r="P5" s="5" t="s">
        <v>10</v>
      </c>
      <c r="Q5" s="5" t="s">
        <v>17</v>
      </c>
      <c r="R5" s="5" t="s">
        <v>18</v>
      </c>
      <c r="S5" s="5" t="s">
        <v>19</v>
      </c>
      <c r="T5" s="5" t="s">
        <v>20</v>
      </c>
      <c r="V5" s="6" t="s">
        <v>2</v>
      </c>
      <c r="W5" s="6" t="s">
        <v>35</v>
      </c>
      <c r="X5" s="6" t="s">
        <v>36</v>
      </c>
      <c r="Y5" s="6" t="s">
        <v>37</v>
      </c>
      <c r="Z5" s="6" t="s">
        <v>38</v>
      </c>
      <c r="AA5" s="6" t="s">
        <v>39</v>
      </c>
    </row>
    <row r="6" spans="2:27" ht="24" customHeight="1">
      <c r="B6" s="7" t="s">
        <v>33</v>
      </c>
      <c r="C6" s="8">
        <f>SUM(C7,C11,C15)</f>
        <v>310910</v>
      </c>
      <c r="D6" s="8">
        <f>C6-I6</f>
        <v>282768</v>
      </c>
      <c r="E6" s="8">
        <f>SUM(E7,E11,E15)</f>
        <v>273535</v>
      </c>
      <c r="F6" s="9">
        <f>(C6-E6)/E6</f>
        <v>0.034</v>
      </c>
      <c r="G6" s="8">
        <f>SUM(I6:K6)</f>
        <v>57499</v>
      </c>
      <c r="H6" s="10">
        <f>G6/C6</f>
        <v>0.185</v>
      </c>
      <c r="I6" s="8">
        <f>SUM(I7,I11,I15)</f>
        <v>28142</v>
      </c>
      <c r="J6" s="8">
        <f>SUM(J7,J11,J15)</f>
        <v>15377</v>
      </c>
      <c r="K6" s="8">
        <f>SUM(K7,K11,K15)</f>
        <v>13980</v>
      </c>
      <c r="L6" s="8">
        <f>SUM(L7,L11,L15)</f>
        <v>100703</v>
      </c>
      <c r="M6" s="10">
        <f>L6/C6</f>
        <v>0.324</v>
      </c>
      <c r="N6" s="8">
        <f>SUM(N7,N11,N15)</f>
        <v>1333</v>
      </c>
      <c r="O6" s="8">
        <f>C6-G6-L6+N6</f>
        <v>154041</v>
      </c>
      <c r="P6" s="10">
        <f>O6/C6</f>
        <v>0.495</v>
      </c>
      <c r="Q6" s="8">
        <f>S6+T6</f>
        <v>3085695</v>
      </c>
      <c r="R6" s="8">
        <f>AVERAGE(R7,R11,R15)</f>
        <v>888</v>
      </c>
      <c r="S6" s="8">
        <f>SUM(S7,S11,S15)</f>
        <v>2466216</v>
      </c>
      <c r="T6" s="8">
        <f>SUM(T7,T11,T15)</f>
        <v>619479</v>
      </c>
      <c r="V6" s="11" t="str">
        <f>'카테고리별 실적 및 재고'!B7</f>
        <v>반도체 정밀소재</v>
      </c>
      <c r="W6" s="12">
        <v>108000</v>
      </c>
      <c r="X6" s="12">
        <f>'카테고리별 실적 및 재고'!E7</f>
        <v>110653</v>
      </c>
      <c r="Y6" s="12">
        <f>'카테고리별 실적 및 재고'!C7</f>
        <v>127824</v>
      </c>
      <c r="Z6" s="12">
        <f>'카테고리별 실적 및 재고'!G7</f>
        <v>22093</v>
      </c>
      <c r="AA6" s="12">
        <f>'카테고리별 실적 및 재고'!O7</f>
        <v>65251</v>
      </c>
    </row>
    <row r="7" spans="2:27" ht="22" customHeight="1">
      <c r="B7" s="13" t="s">
        <v>21</v>
      </c>
      <c r="C7" s="14">
        <f>SUM(C8:C10)</f>
        <v>127824</v>
      </c>
      <c r="D7" s="14">
        <f>C7-I7</f>
        <v>116477</v>
      </c>
      <c r="E7" s="14">
        <f>SUM(E8:E10)</f>
        <v>110653</v>
      </c>
      <c r="F7" s="15">
        <f>(C7-E7)/E7</f>
        <v>0.1551788022014767</v>
      </c>
      <c r="G7" s="14">
        <f>SUM(I7:K7)</f>
        <v>22093</v>
      </c>
      <c r="H7" s="16">
        <f>G7/C7</f>
        <v>0.17283921642258104</v>
      </c>
      <c r="I7" s="14">
        <f>SUM(I8:I10)</f>
        <v>11347</v>
      </c>
      <c r="J7" s="14">
        <f>SUM(J8:J10)</f>
        <v>6441</v>
      </c>
      <c r="K7" s="14">
        <f>SUM(K8:K10)</f>
        <v>4305</v>
      </c>
      <c r="L7" s="14">
        <f>SUM(L8:L10)</f>
        <v>41233</v>
      </c>
      <c r="M7" s="16">
        <f>L7/C7</f>
        <v>0.32257635498810866</v>
      </c>
      <c r="N7" s="14">
        <f>SUM(N8:N10)</f>
        <v>753</v>
      </c>
      <c r="O7" s="14">
        <f>C7-G7-L7+N7</f>
        <v>65251</v>
      </c>
      <c r="P7" s="16">
        <f>O7/C7</f>
        <v>0.5104753410940043</v>
      </c>
      <c r="Q7" s="14">
        <f>S7+T7</f>
        <v>1305348</v>
      </c>
      <c r="R7" s="14">
        <f>AVERAGE(R8:R10)</f>
        <v>240</v>
      </c>
      <c r="S7" s="14">
        <f>SUM(S8:S10)</f>
        <v>1046989</v>
      </c>
      <c r="T7" s="14">
        <f>SUM(T8:T10)</f>
        <v>258359</v>
      </c>
      <c r="V7" s="11" t="str">
        <f>'카테고리별 실적 및 재고'!B11</f>
        <v>이차전지 첨단소재</v>
      </c>
      <c r="W7" s="12">
        <v>85000</v>
      </c>
      <c r="X7" s="12">
        <f>'카테고리별 실적 및 재고'!E11</f>
        <v>89351</v>
      </c>
      <c r="Y7" s="12">
        <f>'카테고리별 실적 및 재고'!C11</f>
        <v>90954</v>
      </c>
      <c r="Z7" s="12">
        <f>'카테고리별 실적 및 재고'!G11</f>
        <v>16358</v>
      </c>
      <c r="AA7" s="12">
        <f>'카테고리별 실적 및 재고'!O11</f>
        <v>45163</v>
      </c>
    </row>
    <row r="8" spans="2:27" ht="20" customHeight="1">
      <c r="B8" s="17" t="s">
        <v>22</v>
      </c>
      <c r="C8" s="18">
        <v>76694</v>
      </c>
      <c r="D8" s="18">
        <f>C8-I8</f>
        <v>69886</v>
      </c>
      <c r="E8" s="18">
        <v>66392</v>
      </c>
      <c r="F8" s="19">
        <f>(C8-E8)/E8</f>
        <v>0.15516929750572359</v>
      </c>
      <c r="G8" s="18">
        <f>SUM(I8:K8)</f>
        <v>13256</v>
      </c>
      <c r="H8" s="20">
        <f>G8/C8</f>
        <v>0.17284272563694683</v>
      </c>
      <c r="I8" s="18">
        <v>6808</v>
      </c>
      <c r="J8" s="18">
        <v>3865</v>
      </c>
      <c r="K8" s="18">
        <v>2583</v>
      </c>
      <c r="L8" s="18">
        <v>24740</v>
      </c>
      <c r="M8" s="20">
        <f>L8/C8</f>
        <v>0.3225806451612903</v>
      </c>
      <c r="N8" s="18">
        <v>450</v>
      </c>
      <c r="O8" s="18">
        <f>C8-G8-L8+N8</f>
        <v>39148</v>
      </c>
      <c r="P8" s="20">
        <f>O8/C8</f>
        <v>0.5104441025373563</v>
      </c>
      <c r="Q8" s="18">
        <f>S8+T8</f>
        <v>783208</v>
      </c>
      <c r="R8" s="18">
        <v>335</v>
      </c>
      <c r="S8" s="18">
        <v>628193</v>
      </c>
      <c r="T8" s="18">
        <v>155015</v>
      </c>
      <c r="V8" s="11" t="str">
        <f>'카테고리별 실적 및 재고'!B15</f>
        <v>디스플레이/전장소재</v>
      </c>
      <c r="W8" s="12">
        <v>70000</v>
      </c>
      <c r="X8" s="12">
        <f>'카테고리별 실적 및 재고'!E15</f>
        <v>73531</v>
      </c>
      <c r="Y8" s="12">
        <f>'카테고리별 실적 및 재고'!C15</f>
        <v>92132</v>
      </c>
      <c r="Z8" s="12">
        <f>'카테고리별 실적 및 재고'!G15</f>
        <v>19048</v>
      </c>
      <c r="AA8" s="12">
        <f>'카테고리별 실적 및 재고'!O15</f>
        <v>43627</v>
      </c>
    </row>
    <row r="9" spans="2:27" ht="20" customHeight="1">
      <c r="B9" s="17" t="s">
        <v>23</v>
      </c>
      <c r="C9" s="18">
        <v>31956</v>
      </c>
      <c r="D9" s="18">
        <f>C9-I9</f>
        <v>29119</v>
      </c>
      <c r="E9" s="18">
        <v>27663</v>
      </c>
      <c r="F9" s="19">
        <f>(C9-E9)/E9</f>
        <v>0.155189241947728</v>
      </c>
      <c r="G9" s="18">
        <f>SUM(I9:K9)</f>
        <v>5523</v>
      </c>
      <c r="H9" s="20">
        <f>G9/C9</f>
        <v>0.1728313931656027</v>
      </c>
      <c r="I9" s="18">
        <v>2837</v>
      </c>
      <c r="J9" s="18">
        <v>1610</v>
      </c>
      <c r="K9" s="18">
        <v>1076</v>
      </c>
      <c r="L9" s="18">
        <v>10308</v>
      </c>
      <c r="M9" s="20">
        <f>L9/C9</f>
        <v>0.3225685317311303</v>
      </c>
      <c r="N9" s="18">
        <v>200</v>
      </c>
      <c r="O9" s="18">
        <f>C9-G9-L9+N9</f>
        <v>16325</v>
      </c>
      <c r="P9" s="20">
        <f>O9/C9</f>
        <v>0.5108586806859432</v>
      </c>
      <c r="Q9" s="18">
        <f>S9+T9</f>
        <v>326337</v>
      </c>
      <c r="R9" s="18">
        <v>220</v>
      </c>
      <c r="S9" s="18">
        <v>261747</v>
      </c>
      <c r="T9" s="18">
        <v>64590</v>
      </c>
      <c r="V9" s="21" t="s">
        <v>40</v>
      </c>
      <c r="W9" s="22">
        <f>SUM(W6:W8)</f>
        <v>263000</v>
      </c>
      <c r="X9" s="22">
        <f>SUM(X6:X8)</f>
        <v>273535</v>
      </c>
      <c r="Y9" s="22">
        <f>SUM(Y6:Y8)</f>
        <v>310910</v>
      </c>
      <c r="Z9" s="22">
        <f>SUM(Z6:Z8)</f>
        <v>57499</v>
      </c>
      <c r="AA9" s="22">
        <f>SUM(AA6:AA8)</f>
        <v>154041</v>
      </c>
    </row>
    <row r="10" spans="2:27" ht="20" customHeight="1">
      <c r="B10" s="17" t="s">
        <v>24</v>
      </c>
      <c r="C10" s="18">
        <v>19174</v>
      </c>
      <c r="D10" s="18">
        <f>C10-I10</f>
        <v>17472</v>
      </c>
      <c r="E10" s="18">
        <v>16598</v>
      </c>
      <c r="F10" s="19">
        <f>(C10-E10)/E10</f>
        <v>0.1551994216170623</v>
      </c>
      <c r="G10" s="18">
        <f>SUM(I10:K10)</f>
        <v>3314</v>
      </c>
      <c r="H10" s="20">
        <f>G10/C10</f>
        <v>0.17283821842077815</v>
      </c>
      <c r="I10" s="18">
        <v>1702</v>
      </c>
      <c r="J10" s="18">
        <v>966</v>
      </c>
      <c r="K10" s="18">
        <v>646</v>
      </c>
      <c r="L10" s="18">
        <v>6185</v>
      </c>
      <c r="M10" s="20">
        <f>L10/C10</f>
        <v>0.32257223323250234</v>
      </c>
      <c r="N10" s="18">
        <v>103</v>
      </c>
      <c r="O10" s="18">
        <f>C10-G10-L10+N10</f>
        <v>9778</v>
      </c>
      <c r="P10" s="20">
        <f>O10/C10</f>
        <v>0.5099614060707207</v>
      </c>
      <c r="Q10" s="18">
        <f>S10+T10</f>
        <v>195803</v>
      </c>
      <c r="R10" s="18">
        <v>165</v>
      </c>
      <c r="S10" s="18">
        <v>157049</v>
      </c>
      <c r="T10" s="18">
        <v>38754</v>
      </c>
    </row>
    <row r="11" spans="2:27" ht="22" customHeight="1">
      <c r="B11" s="13" t="s">
        <v>25</v>
      </c>
      <c r="C11" s="14">
        <f>SUM(C12:C14)</f>
        <v>90954</v>
      </c>
      <c r="D11" s="14">
        <f>C11-I11</f>
        <v>82733</v>
      </c>
      <c r="E11" s="14">
        <f>SUM(E12:E14)</f>
        <v>89351</v>
      </c>
      <c r="F11" s="15">
        <f>(C11-E11)/E11</f>
        <v>0.017940481919620374</v>
      </c>
      <c r="G11" s="14">
        <f>SUM(I11:K11)</f>
        <v>16358</v>
      </c>
      <c r="H11" s="16">
        <f>G11/C11</f>
        <v>0.17984915451766828</v>
      </c>
      <c r="I11" s="14">
        <f>SUM(I12:I14)</f>
        <v>8221</v>
      </c>
      <c r="J11" s="14">
        <f>SUM(J12:J14)</f>
        <v>4489</v>
      </c>
      <c r="K11" s="14">
        <f>SUM(K12:K14)</f>
        <v>3648</v>
      </c>
      <c r="L11" s="14">
        <f>SUM(L12:L14)</f>
        <v>29433</v>
      </c>
      <c r="M11" s="16">
        <f>L11/C11</f>
        <v>0.3236031400488159</v>
      </c>
      <c r="N11" s="14">
        <f>SUM(N12:N14)</f>
        <v>0</v>
      </c>
      <c r="O11" s="14">
        <f>C11-G11-L11+N11</f>
        <v>45163</v>
      </c>
      <c r="P11" s="16">
        <f>O11/C11</f>
        <v>0.49654770543351584</v>
      </c>
      <c r="Q11" s="14">
        <f>S11+T11</f>
        <v>885844</v>
      </c>
      <c r="R11" s="14">
        <f>AVERAGE(R12:R14)</f>
        <v>286</v>
      </c>
      <c r="S11" s="14">
        <f>SUM(S12:S14)</f>
        <v>706306</v>
      </c>
      <c r="T11" s="14">
        <f>SUM(T12:T14)</f>
        <v>179538</v>
      </c>
    </row>
    <row r="12" spans="2:27" ht="20" customHeight="1">
      <c r="B12" s="17" t="s">
        <v>26</v>
      </c>
      <c r="C12" s="18">
        <v>40929</v>
      </c>
      <c r="D12" s="18">
        <f>C12-I12</f>
        <v>37229</v>
      </c>
      <c r="E12" s="18">
        <v>45022</v>
      </c>
      <c r="F12" s="19">
        <f>(C12-E12)/E12</f>
        <v>-0.0909111101239394</v>
      </c>
      <c r="G12" s="18">
        <f>SUM(I12:K12)</f>
        <v>7362</v>
      </c>
      <c r="H12" s="20">
        <f>G12/C12</f>
        <v>0.17987246206846003</v>
      </c>
      <c r="I12" s="18">
        <v>3700</v>
      </c>
      <c r="J12" s="18">
        <v>2020</v>
      </c>
      <c r="K12" s="18">
        <v>1642</v>
      </c>
      <c r="L12" s="18">
        <v>13245</v>
      </c>
      <c r="M12" s="20">
        <f>L12/C12</f>
        <v>0.32360917686725793</v>
      </c>
      <c r="N12" s="18">
        <v>0</v>
      </c>
      <c r="O12" s="18">
        <f>C12-G12-L12+N12</f>
        <v>20322</v>
      </c>
      <c r="P12" s="20">
        <f>O12/C12</f>
        <v>0.49651836106428204</v>
      </c>
      <c r="Q12" s="18">
        <f>S12+T12</f>
        <v>398630</v>
      </c>
      <c r="R12" s="18">
        <v>265</v>
      </c>
      <c r="S12" s="18">
        <v>317838</v>
      </c>
      <c r="T12" s="18">
        <v>80792</v>
      </c>
    </row>
    <row r="13" spans="2:27" ht="20" customHeight="1">
      <c r="B13" s="17" t="s">
        <v>27</v>
      </c>
      <c r="C13" s="18">
        <v>30015</v>
      </c>
      <c r="D13" s="18">
        <f>C13-I13</f>
        <v>27302</v>
      </c>
      <c r="E13" s="18">
        <v>26600</v>
      </c>
      <c r="F13" s="19">
        <f>(C13-E13)/E13</f>
        <v>0.12838345864661654</v>
      </c>
      <c r="G13" s="18">
        <f>SUM(I13:K13)</f>
        <v>5398</v>
      </c>
      <c r="H13" s="20">
        <f>G13/C13</f>
        <v>0.17984341162751957</v>
      </c>
      <c r="I13" s="18">
        <v>2713</v>
      </c>
      <c r="J13" s="18">
        <v>1481</v>
      </c>
      <c r="K13" s="18">
        <v>1204</v>
      </c>
      <c r="L13" s="18">
        <v>9713</v>
      </c>
      <c r="M13" s="20">
        <f>L13/C13</f>
        <v>0.32360486423454937</v>
      </c>
      <c r="N13" s="18">
        <v>0</v>
      </c>
      <c r="O13" s="18">
        <f>C13-G13-L13+N13</f>
        <v>14904</v>
      </c>
      <c r="P13" s="20">
        <f>O13/C13</f>
        <v>0.496551724137931</v>
      </c>
      <c r="Q13" s="18">
        <f>S13+T13</f>
        <v>292329</v>
      </c>
      <c r="R13" s="18">
        <v>290</v>
      </c>
      <c r="S13" s="18">
        <v>233081</v>
      </c>
      <c r="T13" s="18">
        <v>59248</v>
      </c>
    </row>
    <row r="14" spans="2:27" ht="20" customHeight="1">
      <c r="B14" s="17" t="s">
        <v>28</v>
      </c>
      <c r="C14" s="18">
        <v>20010</v>
      </c>
      <c r="D14" s="18">
        <f>C14-I14</f>
        <v>18202</v>
      </c>
      <c r="E14" s="18">
        <v>17729</v>
      </c>
      <c r="F14" s="19">
        <f>(C14-E14)/E14</f>
        <v>0.12865925884144622</v>
      </c>
      <c r="G14" s="18">
        <f>SUM(I14:K14)</f>
        <v>3598</v>
      </c>
      <c r="H14" s="20">
        <f>G14/C14</f>
        <v>0.17981009495252373</v>
      </c>
      <c r="I14" s="18">
        <v>1808</v>
      </c>
      <c r="J14" s="18">
        <v>988</v>
      </c>
      <c r="K14" s="18">
        <v>802</v>
      </c>
      <c r="L14" s="18">
        <v>6475</v>
      </c>
      <c r="M14" s="20">
        <f>L14/C14</f>
        <v>0.32358820589705145</v>
      </c>
      <c r="N14" s="18">
        <v>0</v>
      </c>
      <c r="O14" s="18">
        <f>C14-G14-L14+N14</f>
        <v>9937</v>
      </c>
      <c r="P14" s="20">
        <f>O14/C14</f>
        <v>0.4966016991504248</v>
      </c>
      <c r="Q14" s="18">
        <f>S14+T14</f>
        <v>194885</v>
      </c>
      <c r="R14" s="18">
        <v>302</v>
      </c>
      <c r="S14" s="18">
        <v>155387</v>
      </c>
      <c r="T14" s="18">
        <v>39498</v>
      </c>
    </row>
    <row r="15" spans="2:27" ht="22" customHeight="1">
      <c r="B15" s="13" t="s">
        <v>29</v>
      </c>
      <c r="C15" s="14">
        <f>SUM(C16:C18)</f>
        <v>92132</v>
      </c>
      <c r="D15" s="14">
        <f>C15-I15</f>
        <v>83558</v>
      </c>
      <c r="E15" s="14">
        <f>SUM(E16:E18)</f>
        <v>73531</v>
      </c>
      <c r="F15" s="15">
        <f>(C15-E15)/E15</f>
        <v>0.25296813588826483</v>
      </c>
      <c r="G15" s="14">
        <f>SUM(I15:K15)</f>
        <v>19048</v>
      </c>
      <c r="H15" s="16">
        <f>G15/C15</f>
        <v>0.2067468414882994</v>
      </c>
      <c r="I15" s="14">
        <f>SUM(I16:I18)</f>
        <v>8574</v>
      </c>
      <c r="J15" s="14">
        <f>SUM(J16:J18)</f>
        <v>4447</v>
      </c>
      <c r="K15" s="14">
        <f>SUM(K16:K18)</f>
        <v>6027</v>
      </c>
      <c r="L15" s="14">
        <f>SUM(L16:L18)</f>
        <v>30037</v>
      </c>
      <c r="M15" s="16">
        <f>L15/C15</f>
        <v>0.32602136065644943</v>
      </c>
      <c r="N15" s="14">
        <f>SUM(N16:N18)</f>
        <v>580</v>
      </c>
      <c r="O15" s="14">
        <f>C15-G15-L15+N15</f>
        <v>43627</v>
      </c>
      <c r="P15" s="16">
        <f>O15/C15</f>
        <v>0.47352711327226155</v>
      </c>
      <c r="Q15" s="14">
        <f>S15+T15</f>
        <v>894503</v>
      </c>
      <c r="R15" s="14">
        <f>AVERAGE(R16:R18)</f>
        <v>298</v>
      </c>
      <c r="S15" s="14">
        <f>SUM(S16:S18)</f>
        <v>712921</v>
      </c>
      <c r="T15" s="14">
        <f>SUM(T16:T18)</f>
        <v>181582</v>
      </c>
    </row>
    <row r="16" spans="2:27" ht="20" customHeight="1">
      <c r="B16" s="17" t="s">
        <v>30</v>
      </c>
      <c r="C16" s="18">
        <v>41459</v>
      </c>
      <c r="D16" s="18">
        <f>C16-I16</f>
        <v>37601</v>
      </c>
      <c r="E16" s="18">
        <v>33089</v>
      </c>
      <c r="F16" s="19">
        <f>(C16-E16)/E16</f>
        <v>0.25295415394844206</v>
      </c>
      <c r="G16" s="18">
        <f>SUM(I16:K16)</f>
        <v>8571</v>
      </c>
      <c r="H16" s="20">
        <f>G16/C16</f>
        <v>0.2067343640705275</v>
      </c>
      <c r="I16" s="18">
        <v>3858</v>
      </c>
      <c r="J16" s="18">
        <v>2001</v>
      </c>
      <c r="K16" s="18">
        <v>2712</v>
      </c>
      <c r="L16" s="18">
        <v>13517</v>
      </c>
      <c r="M16" s="20">
        <f>L16/C16</f>
        <v>0.32603294821389806</v>
      </c>
      <c r="N16" s="18">
        <v>290</v>
      </c>
      <c r="O16" s="18">
        <f>C16-G16-L16+N16</f>
        <v>19661</v>
      </c>
      <c r="P16" s="20">
        <f>O16/C16</f>
        <v>0.474227550109747</v>
      </c>
      <c r="Q16" s="18">
        <f>S16+T16</f>
        <v>402526</v>
      </c>
      <c r="R16" s="18">
        <v>235</v>
      </c>
      <c r="S16" s="18">
        <v>320814</v>
      </c>
      <c r="T16" s="18">
        <v>81712</v>
      </c>
    </row>
    <row r="17" spans="2:20" ht="20" customHeight="1">
      <c r="B17" s="17" t="s">
        <v>31</v>
      </c>
      <c r="C17" s="18">
        <v>30404</v>
      </c>
      <c r="D17" s="18">
        <f>C17-I17</f>
        <v>27575</v>
      </c>
      <c r="E17" s="18">
        <v>24265</v>
      </c>
      <c r="F17" s="19">
        <f>(C17-E17)/E17</f>
        <v>0.25299814547702454</v>
      </c>
      <c r="G17" s="18">
        <f>SUM(I17:K17)</f>
        <v>6286</v>
      </c>
      <c r="H17" s="20">
        <f>G17/C17</f>
        <v>0.20674911195895276</v>
      </c>
      <c r="I17" s="18">
        <v>2829</v>
      </c>
      <c r="J17" s="18">
        <v>1468</v>
      </c>
      <c r="K17" s="18">
        <v>1989</v>
      </c>
      <c r="L17" s="18">
        <v>9912</v>
      </c>
      <c r="M17" s="20">
        <f>L17/C17</f>
        <v>0.3260097355611104</v>
      </c>
      <c r="N17" s="18">
        <v>190</v>
      </c>
      <c r="O17" s="18">
        <f>C17-G17-L17+N17</f>
        <v>14396</v>
      </c>
      <c r="P17" s="20">
        <f>O17/C17</f>
        <v>0.47349033021970793</v>
      </c>
      <c r="Q17" s="18">
        <f>S17+T17</f>
        <v>295186</v>
      </c>
      <c r="R17" s="18">
        <v>296</v>
      </c>
      <c r="S17" s="18">
        <v>235264</v>
      </c>
      <c r="T17" s="18">
        <v>59922</v>
      </c>
    </row>
    <row r="18" spans="2:20" ht="20" customHeight="1">
      <c r="B18" s="17" t="s">
        <v>32</v>
      </c>
      <c r="C18" s="18">
        <v>20269</v>
      </c>
      <c r="D18" s="18">
        <f>C18-I18</f>
        <v>18382</v>
      </c>
      <c r="E18" s="18">
        <v>16177</v>
      </c>
      <c r="F18" s="19">
        <f>(C18-E18)/E18</f>
        <v>0.252951721580021</v>
      </c>
      <c r="G18" s="18">
        <f>SUM(I18:K18)</f>
        <v>4191</v>
      </c>
      <c r="H18" s="20">
        <f>G18/C18</f>
        <v>0.206768957521338</v>
      </c>
      <c r="I18" s="18">
        <v>1887</v>
      </c>
      <c r="J18" s="18">
        <v>978</v>
      </c>
      <c r="K18" s="18">
        <v>1326</v>
      </c>
      <c r="L18" s="18">
        <v>6608</v>
      </c>
      <c r="M18" s="20">
        <f>L18/C18</f>
        <v>0.3260150969460753</v>
      </c>
      <c r="N18" s="18">
        <v>100</v>
      </c>
      <c r="O18" s="18">
        <f>C18-G18-L18+N18</f>
        <v>9570</v>
      </c>
      <c r="P18" s="20">
        <f>O18/C18</f>
        <v>0.47214958804085055</v>
      </c>
      <c r="Q18" s="18">
        <f>S18+T18</f>
        <v>196791</v>
      </c>
      <c r="R18" s="18">
        <v>362</v>
      </c>
      <c r="S18" s="18">
        <v>156843</v>
      </c>
      <c r="T18" s="18">
        <v>39948</v>
      </c>
    </row>
  </sheetData>
  <mergeCells count="6">
    <mergeCell ref="B2:T2"/>
    <mergeCell ref="R3:T3"/>
    <mergeCell ref="B4:B5"/>
    <mergeCell ref="C4:P4"/>
    <mergeCell ref="Q4:T4"/>
    <mergeCell ref="V4:AA4"/>
  </mergeCells>
  <printOptions gridLine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카테고리별 실적 및 재고</vt:lpstr>
    </vt:vector>
  </TitlesOfParts>
  <Company>(주)미래소재기술 (Future Materials Tech)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26년 03월 소재 카테고리별 실적 및 재고</dc:title>
  <dc:subject>가상의 소재회사 실적 및 재고 분석 보고서 (전체 수식 및 실시간 차트 연동)</dc:subject>
  <dc:creator>박정재 (Park Jung Jae)</dc:creator>
  <dc:description>본 엑셀 파일은 전 셀이 100% 호환 수식(SUM, 사칙연산, 비율 등)으로 체결되어 있으며, 네이티브 차트 4종이 실시간 데이터와 완벽히 연동됩니다.</dc:description>
  <cp:lastModifiedBy>박정재 (Park Jung Jae)</cp:lastModifiedBy>
  <dcterms:created xsi:type="dcterms:W3CDTF">2026-09-27T10:04:17Z</dcterms:created>
  <dcterms:modified xsi:type="dcterms:W3CDTF">2026-09-27T10:04:17Z</dcterms:modified>
  <cp:category>영업 및 재고 분석</cp:category>
</cp:coreProperties>
</file>