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경영대시보드_요약" state="visible" r:id="rId4"/>
    <sheet sheetId="2" name="📈 거래처별_실적_비교" state="visible" r:id="rId5"/>
    <sheet sheetId="3" name="📋 판매원장_50건" state="visible" r:id="rId6"/>
    <sheet sheetId="4" name="🔮 2027_손익추정모델" state="visible" r:id="rId7"/>
  </sheets>
  <calcPr calcId="171027"/>
</workbook>
</file>

<file path=xl/sharedStrings.xml><?xml version="1.0" encoding="utf-8"?>
<sst xmlns="http://schemas.openxmlformats.org/spreadsheetml/2006/main" count="467" uniqueCount="211">
  <si>
    <t>(주)미래소재기술 | 2025~2026 가상소재 판매실적 및 2027 추정 분석 보고서</t>
  </si>
  <si>
    <t>※ 상기 작업물은 이해를 돕기위한 가상의 데이터입니다. (25~26년 가상소재 4종 · 5대 거래처 50건 분석)</t>
  </si>
  <si>
    <t>25~26 누적 매출액</t>
  </si>
  <si>
    <t>2026 금년 영업이익</t>
  </si>
  <si>
    <t>2026 영업이익률</t>
  </si>
  <si>
    <t>2027 내년 추정 매출</t>
  </si>
  <si>
    <t>2027 내년 추정 영업이익</t>
  </si>
  <si>
    <t>1. 가상소재 4종 2025년 vs 2026년 판매실적 비교 요약</t>
  </si>
  <si>
    <t>소재코드</t>
  </si>
  <si>
    <t>가상 소재명</t>
  </si>
  <si>
    <t>단위</t>
  </si>
  <si>
    <t>2025 판매량</t>
  </si>
  <si>
    <t>2025 판매대금</t>
  </si>
  <si>
    <t>2026 판매량</t>
  </si>
  <si>
    <t>2026 판매대금</t>
  </si>
  <si>
    <t>판매량 증가율</t>
  </si>
  <si>
    <t>판매대금 증가율</t>
  </si>
  <si>
    <t>2026 매출비중</t>
  </si>
  <si>
    <t>MAT-01</t>
  </si>
  <si>
    <t>고내열 에폭시 봉지재 (EPX-100)</t>
  </si>
  <si>
    <t>kg</t>
  </si>
  <si>
    <t>MAT-02</t>
  </si>
  <si>
    <t>초고순도 정밀 세정용제 (SOL-200)</t>
  </si>
  <si>
    <t>L</t>
  </si>
  <si>
    <t>MAT-03</t>
  </si>
  <si>
    <t>세라믹 방열 절연필러 (TCF-300)</t>
  </si>
  <si>
    <t>MAT-04</t>
  </si>
  <si>
    <t>실리콘 하이브리드 코팅제 (SHC-400)</t>
  </si>
  <si>
    <t/>
  </si>
  <si>
    <t>합계 (Total)</t>
  </si>
  <si>
    <t>-</t>
  </si>
  <si>
    <t>2. 금년(2026) 수익 실적 및 내년(2027) 손익 추정치 계산 모델</t>
  </si>
  <si>
    <t>구분 (손익계정)</t>
  </si>
  <si>
    <t>산출 기준 / 수식 설명</t>
  </si>
  <si>
    <t>2025년 실적</t>
  </si>
  <si>
    <t>2026년 실적 (금년)</t>
  </si>
  <si>
    <t>2027년 추정치 (내년)</t>
  </si>
  <si>
    <t>25-&gt;26 증감</t>
  </si>
  <si>
    <t>26-&gt;27 추정증감</t>
  </si>
  <si>
    <t>① 총 판매량 (kg·L)</t>
  </si>
  <si>
    <t>연간 총 납품 물량 합계</t>
  </si>
  <si>
    <t>② 매출액 (판매대금)</t>
  </si>
  <si>
    <t>가상소재 4종 공급가액 총합</t>
  </si>
  <si>
    <t>③ 매출원가 (원재료/제조)</t>
  </si>
  <si>
    <t>가중평균 원가율 적용</t>
  </si>
  <si>
    <t>④ 매출총이익</t>
  </si>
  <si>
    <t>매출액 - 매출원가</t>
  </si>
  <si>
    <t>매출총이익률</t>
  </si>
  <si>
    <t>매출총이익 / 매출액</t>
  </si>
  <si>
    <t>⑤ 판매관리비 (판관비)</t>
  </si>
  <si>
    <t>인건비, 물류, 연구개발비</t>
  </si>
  <si>
    <t>⑥ 영업이익 (수익)</t>
  </si>
  <si>
    <t>매출총이익 - 판관비</t>
  </si>
  <si>
    <t>⑦ 당기순이익 (법인세 차감후)</t>
  </si>
  <si>
    <t>영업이익 × (1 - 실효세율 20%)</t>
  </si>
  <si>
    <t>영업이익률 (OP Margin)</t>
  </si>
  <si>
    <t>영업이익 / 매출액</t>
  </si>
  <si>
    <t>5대 주요 B2B 거래처별 2025년 vs 2026년 판매량 및 판매대금 분석</t>
  </si>
  <si>
    <t>거래처코드</t>
  </si>
  <si>
    <t>거래처명</t>
  </si>
  <si>
    <t>소재지</t>
  </si>
  <si>
    <t>2025 거래건수</t>
  </si>
  <si>
    <t>2026 거래건수</t>
  </si>
  <si>
    <t>매출 성장률</t>
  </si>
  <si>
    <t>CLI-01</t>
  </si>
  <si>
    <t>(주)한빛케미칼</t>
  </si>
  <si>
    <t>경기 화성</t>
  </si>
  <si>
    <t>CLI-02</t>
  </si>
  <si>
    <t>미래전자소재(주)</t>
  </si>
  <si>
    <t>충남 천안</t>
  </si>
  <si>
    <t>CLI-03</t>
  </si>
  <si>
    <t>세안하이테크</t>
  </si>
  <si>
    <t>경북 구미</t>
  </si>
  <si>
    <t>CLI-04</t>
  </si>
  <si>
    <t>대성정밀화학</t>
  </si>
  <si>
    <t>울산 남구</t>
  </si>
  <si>
    <t>CLI-05</t>
  </si>
  <si>
    <t>삼양신소재기술</t>
  </si>
  <si>
    <t>전북 전주</t>
  </si>
  <si>
    <t>(주)미래소재기술 | 2025~2026년 첨단가상소재 납품 거래 원장 (총 50건)</t>
  </si>
  <si>
    <t>No.</t>
  </si>
  <si>
    <t>전표번호</t>
  </si>
  <si>
    <t>거래일자</t>
  </si>
  <si>
    <t>연도</t>
  </si>
  <si>
    <t>분기</t>
  </si>
  <si>
    <t>품목코드</t>
  </si>
  <si>
    <t>소재 품목명</t>
  </si>
  <si>
    <t>판매수량</t>
  </si>
  <si>
    <t>공급단가</t>
  </si>
  <si>
    <t>판매대금(공급가)</t>
  </si>
  <si>
    <t>부가세(10%)</t>
  </si>
  <si>
    <t>합계금액</t>
  </si>
  <si>
    <t>매출원가</t>
  </si>
  <si>
    <t>매출총이익</t>
  </si>
  <si>
    <t>TX-2025-001</t>
  </si>
  <si>
    <t>2025-01-10</t>
  </si>
  <si>
    <t>1Q</t>
  </si>
  <si>
    <t>TX-2025-002</t>
  </si>
  <si>
    <t>2025-01-17</t>
  </si>
  <si>
    <t>TX-2025-003</t>
  </si>
  <si>
    <t>2025-02-24</t>
  </si>
  <si>
    <t>TX-2025-004</t>
  </si>
  <si>
    <t>2025-02-10</t>
  </si>
  <si>
    <t>TX-2025-005</t>
  </si>
  <si>
    <t>2025-03-17</t>
  </si>
  <si>
    <t>TX-2025-006</t>
  </si>
  <si>
    <t>2025-03-24</t>
  </si>
  <si>
    <t>TX-2025-007</t>
  </si>
  <si>
    <t>2025-04-10</t>
  </si>
  <si>
    <t>2Q</t>
  </si>
  <si>
    <t>TX-2025-008</t>
  </si>
  <si>
    <t>2025-04-17</t>
  </si>
  <si>
    <t>TX-2025-009</t>
  </si>
  <si>
    <t>2025-05-24</t>
  </si>
  <si>
    <t>TX-2025-010</t>
  </si>
  <si>
    <t>2025-05-10</t>
  </si>
  <si>
    <t>TX-2025-011</t>
  </si>
  <si>
    <t>2025-06-17</t>
  </si>
  <si>
    <t>TX-2025-012</t>
  </si>
  <si>
    <t>2025-06-24</t>
  </si>
  <si>
    <t>TX-2025-013</t>
  </si>
  <si>
    <t>2025-07-10</t>
  </si>
  <si>
    <t>3Q</t>
  </si>
  <si>
    <t>TX-2025-014</t>
  </si>
  <si>
    <t>2025-07-17</t>
  </si>
  <si>
    <t>TX-2025-015</t>
  </si>
  <si>
    <t>2025-08-24</t>
  </si>
  <si>
    <t>TX-2025-016</t>
  </si>
  <si>
    <t>2025-08-10</t>
  </si>
  <si>
    <t>TX-2025-017</t>
  </si>
  <si>
    <t>2025-09-17</t>
  </si>
  <si>
    <t>TX-2025-018</t>
  </si>
  <si>
    <t>2025-09-24</t>
  </si>
  <si>
    <t>TX-2025-019</t>
  </si>
  <si>
    <t>2025-10-10</t>
  </si>
  <si>
    <t>4Q</t>
  </si>
  <si>
    <t>TX-2025-020</t>
  </si>
  <si>
    <t>2025-10-17</t>
  </si>
  <si>
    <t>TX-2025-021</t>
  </si>
  <si>
    <t>2025-11-24</t>
  </si>
  <si>
    <t>TX-2025-022</t>
  </si>
  <si>
    <t>2025-11-10</t>
  </si>
  <si>
    <t>TX-2025-023</t>
  </si>
  <si>
    <t>2025-12-17</t>
  </si>
  <si>
    <t>TX-2025-024</t>
  </si>
  <si>
    <t>2025-12-24</t>
  </si>
  <si>
    <t>TX-2025-025</t>
  </si>
  <si>
    <t>2025-12-10</t>
  </si>
  <si>
    <t>TX-2026-001</t>
  </si>
  <si>
    <t>2026-01-08</t>
  </si>
  <si>
    <t>TX-2026-002</t>
  </si>
  <si>
    <t>2026-01-16</t>
  </si>
  <si>
    <t>TX-2026-003</t>
  </si>
  <si>
    <t>2026-02-24</t>
  </si>
  <si>
    <t>TX-2026-004</t>
  </si>
  <si>
    <t>2026-02-08</t>
  </si>
  <si>
    <t>TX-2026-005</t>
  </si>
  <si>
    <t>2026-03-16</t>
  </si>
  <si>
    <t>TX-2026-006</t>
  </si>
  <si>
    <t>2026-03-24</t>
  </si>
  <si>
    <t>TX-2026-007</t>
  </si>
  <si>
    <t>2026-04-08</t>
  </si>
  <si>
    <t>TX-2026-008</t>
  </si>
  <si>
    <t>2026-04-16</t>
  </si>
  <si>
    <t>TX-2026-009</t>
  </si>
  <si>
    <t>2026-05-24</t>
  </si>
  <si>
    <t>TX-2026-010</t>
  </si>
  <si>
    <t>2026-05-08</t>
  </si>
  <si>
    <t>TX-2026-011</t>
  </si>
  <si>
    <t>2026-06-16</t>
  </si>
  <si>
    <t>TX-2026-012</t>
  </si>
  <si>
    <t>2026-06-24</t>
  </si>
  <si>
    <t>TX-2026-013</t>
  </si>
  <si>
    <t>2026-07-08</t>
  </si>
  <si>
    <t>TX-2026-014</t>
  </si>
  <si>
    <t>2026-07-16</t>
  </si>
  <si>
    <t>TX-2026-015</t>
  </si>
  <si>
    <t>2026-08-24</t>
  </si>
  <si>
    <t>TX-2026-016</t>
  </si>
  <si>
    <t>2026-08-08</t>
  </si>
  <si>
    <t>TX-2026-017</t>
  </si>
  <si>
    <t>2026-09-16</t>
  </si>
  <si>
    <t>TX-2026-018</t>
  </si>
  <si>
    <t>2026-09-24</t>
  </si>
  <si>
    <t>TX-2026-019</t>
  </si>
  <si>
    <t>2026-10-08</t>
  </si>
  <si>
    <t>TX-2026-020</t>
  </si>
  <si>
    <t>2026-10-16</t>
  </si>
  <si>
    <t>TX-2026-021</t>
  </si>
  <si>
    <t>2026-11-24</t>
  </si>
  <si>
    <t>TX-2026-022</t>
  </si>
  <si>
    <t>2026-11-08</t>
  </si>
  <si>
    <t>TX-2026-023</t>
  </si>
  <si>
    <t>2026-12-16</t>
  </si>
  <si>
    <t>TX-2026-024</t>
  </si>
  <si>
    <t>2026-12-24</t>
  </si>
  <si>
    <t>TX-2026-025</t>
  </si>
  <si>
    <t>2026-12-08</t>
  </si>
  <si>
    <t>총 합계 (Total 50건)</t>
  </si>
  <si>
    <t>2027년도 매출 및 영업수익 예측 시나리오 (보수적 / 기준 / 낙관적)</t>
  </si>
  <si>
    <t>시나리오 구분</t>
  </si>
  <si>
    <t>성장률 가정</t>
  </si>
  <si>
    <t>2027 예상판매량</t>
  </si>
  <si>
    <t>2027 예상매출액</t>
  </si>
  <si>
    <t>예상매출원가</t>
  </si>
  <si>
    <t>예상판관비</t>
  </si>
  <si>
    <t>예상영업이익</t>
  </si>
  <si>
    <t>영업이익률</t>
  </si>
  <si>
    <t>보수적 시나리오 (Conservative)</t>
  </si>
  <si>
    <t>기준 시나리오 (Base / 추천모델)</t>
  </si>
  <si>
    <t>낙관적 시나리오 (Optimistic)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</si>
</sst>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₩#,##0"/>
    <numFmt numFmtId="165" formatCode="0.0%"/>
    <numFmt numFmtId="166" formatCode="+0.0%;-0.0%;0.0%"/>
    <numFmt numFmtId="167" formatCode="#,##0&quot;건&quot;"/>
    <numFmt numFmtId="168" formatCode="+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5"/>
      <name val="맑은 고딕"/>
    </font>
    <font>
      <i/>
      <color rgb="FF595959"/>
      <sz val="9.5"/>
      <name val="맑은 고딕"/>
    </font>
    <font>
      <color rgb="FF595959"/>
      <sz val="9"/>
      <name val="맑은 고딕"/>
    </font>
    <font>
      <b/>
      <color rgb="FF1F4E79"/>
      <sz val="13"/>
      <name val="맑은 고딕"/>
    </font>
    <font>
      <b/>
      <color rgb="FF1F4E79"/>
      <sz val="11"/>
      <name val="맑은 고딕"/>
    </font>
    <font>
      <b/>
      <color rgb="FFFFFFFF"/>
      <sz val="9.5"/>
      <name val="맑은 고딕"/>
    </font>
    <font>
      <b/>
      <color rgb="FF1F4E79"/>
      <sz val="10"/>
      <name val="맑은 고딕"/>
    </font>
    <font>
      <b/>
      <color rgb="FF1F4E79"/>
      <sz val="9.5"/>
      <name val="맑은 고딕"/>
    </font>
    <font>
      <b/>
      <color rgb="FFFFFFFF"/>
      <sz val="14"/>
      <name val="맑은 고딕"/>
    </font>
    <font>
      <b/>
      <color rgb="FFFFFFFF"/>
      <sz val="9"/>
      <name val="맑은 고딕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9FAFB"/>
      </patternFill>
    </fill>
    <fill>
      <patternFill patternType="solid">
        <fgColor rgb="FFFFFFFF"/>
      </patternFill>
    </fill>
    <fill>
      <patternFill patternType="solid">
        <fgColor rgb="FF2F5597"/>
      </patternFill>
    </fill>
    <fill>
      <patternFill patternType="solid">
        <fgColor rgb="FFD9E1F2"/>
      </patternFill>
    </fill>
    <fill>
      <patternFill patternType="solid">
        <fgColor rgb="FFF0F4F8"/>
      </patternFill>
    </fill>
    <fill>
      <patternFill patternType="solid">
        <fgColor rgb="FFF9FAF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9E1F2"/>
      </left>
      <right style="thin">
        <color rgb="FFD9E1F2"/>
      </right>
      <top style="thin">
        <color rgb="FF1F4E79"/>
      </top>
      <bottom style="double">
        <color rgb="FF1F4E79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6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  <xf numFmtId="166" fontId="0" fillId="0" borderId="1" xfId="0" applyNumberFormat="1" applyBorder="1"/>
    <xf numFmtId="165" fontId="0" fillId="0" borderId="1" xfId="0" applyNumberFormat="1" applyBorder="1"/>
    <xf numFmtId="0" fontId="7" fillId="7" borderId="2" xfId="0" applyFont="1" applyFill="1" applyBorder="1"/>
    <xf numFmtId="0" fontId="7" fillId="7" borderId="2" xfId="0" applyFont="1" applyFill="1" applyBorder="1" applyAlignment="1">
      <alignment horizontal="center"/>
    </xf>
    <xf numFmtId="3" fontId="7" fillId="7" borderId="2" xfId="0" applyNumberFormat="1" applyFont="1" applyFill="1" applyBorder="1"/>
    <xf numFmtId="164" fontId="7" fillId="7" borderId="2" xfId="0" applyNumberFormat="1" applyFont="1" applyFill="1" applyBorder="1"/>
    <xf numFmtId="166" fontId="7" fillId="7" borderId="2" xfId="0" applyNumberFormat="1" applyFont="1" applyFill="1" applyBorder="1"/>
    <xf numFmtId="165" fontId="7" fillId="7" borderId="2" xfId="0" applyNumberFormat="1" applyFont="1" applyFill="1" applyBorder="1"/>
    <xf numFmtId="0" fontId="8" fillId="8" borderId="1" xfId="0" applyFont="1" applyFill="1" applyBorder="1"/>
    <xf numFmtId="164" fontId="8" fillId="8" borderId="1" xfId="0" applyNumberFormat="1" applyFont="1" applyFill="1" applyBorder="1"/>
    <xf numFmtId="166" fontId="8" fillId="8" borderId="1" xfId="0" applyNumberFormat="1" applyFont="1" applyFill="1" applyBorder="1"/>
    <xf numFmtId="165" fontId="8" fillId="8" borderId="1" xfId="0" applyNumberFormat="1" applyFont="1" applyFill="1" applyBorder="1"/>
    <xf numFmtId="0" fontId="9" fillId="2" borderId="0" xfId="0" applyFont="1" applyFill="1" applyAlignment="1">
      <alignment horizontal="center" vertical="center"/>
    </xf>
    <xf numFmtId="167" fontId="0" fillId="0" borderId="1" xfId="0" applyNumberFormat="1" applyBorder="1"/>
    <xf numFmtId="0" fontId="8" fillId="7" borderId="2" xfId="0" applyFont="1" applyFill="1" applyBorder="1"/>
    <xf numFmtId="0" fontId="8" fillId="7" borderId="2" xfId="0" applyFont="1" applyFill="1" applyBorder="1" applyAlignment="1">
      <alignment horizontal="center"/>
    </xf>
    <xf numFmtId="167" fontId="8" fillId="7" borderId="2" xfId="0" applyNumberFormat="1" applyFont="1" applyFill="1" applyBorder="1"/>
    <xf numFmtId="164" fontId="8" fillId="7" borderId="2" xfId="0" applyNumberFormat="1" applyFont="1" applyFill="1" applyBorder="1"/>
    <xf numFmtId="166" fontId="8" fillId="7" borderId="2" xfId="0" applyNumberFormat="1" applyFont="1" applyFill="1" applyBorder="1"/>
    <xf numFmtId="0" fontId="10" fillId="6" borderId="0" xfId="0" applyFont="1" applyFill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9" borderId="1" xfId="0" applyFill="1" applyBorder="1"/>
    <xf numFmtId="3" fontId="0" fillId="9" borderId="1" xfId="0" applyNumberFormat="1" applyFill="1" applyBorder="1"/>
    <xf numFmtId="164" fontId="0" fillId="9" borderId="1" xfId="0" applyNumberFormat="1" applyFill="1" applyBorder="1"/>
    <xf numFmtId="3" fontId="8" fillId="7" borderId="2" xfId="0" applyNumberFormat="1" applyFont="1" applyFill="1" applyBorder="1"/>
    <xf numFmtId="168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7"/>
  <sheetViews>
    <sheetView workbookViewId="0"/>
  </sheetViews>
  <sheetFormatPr defaultRowHeight="15" outlineLevelRow="0" outlineLevelCol="0" x14ac:dyDescent="55"/>
  <cols>
    <col min="1" max="1" width="4" customWidth="1"/>
    <col min="2" max="2" width="14" customWidth="1"/>
    <col min="3" max="3" width="28" customWidth="1"/>
    <col min="4" max="4" width="8" customWidth="1"/>
    <col min="5" max="5" width="16" customWidth="1"/>
    <col min="6" max="6" width="18" customWidth="1"/>
    <col min="7" max="7" width="16" customWidth="1"/>
    <col min="8" max="8" width="18" customWidth="1"/>
    <col min="9" max="11" width="14" customWidth="1"/>
  </cols>
  <sheetData>
    <row r="2" ht="36" customHeight="1" spans="2:11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ht="22" customHeight="1" spans="2:11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</row>
    <row r="5" ht="20" customHeight="1" spans="2:11" x14ac:dyDescent="0.25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  <c r="J5" s="3" t="s">
        <v>6</v>
      </c>
      <c r="K5" s="3"/>
    </row>
    <row r="6" ht="28" customHeight="1" spans="2:11" x14ac:dyDescent="0.25">
      <c r="B6" s="4">
        <f>=SUM('📋 판매원장_50건'!K5:K54)</f>
      </c>
      <c r="C6" s="4"/>
      <c r="D6" s="4">
        <f>=G25</f>
      </c>
      <c r="E6" s="4"/>
      <c r="F6" s="5">
        <f>=G27</f>
      </c>
      <c r="G6" s="5"/>
      <c r="H6" s="4">
        <f>=H20</f>
      </c>
      <c r="I6" s="4"/>
      <c r="J6" s="4">
        <f>=H25</f>
      </c>
      <c r="K6" s="4"/>
    </row>
    <row r="8" spans="2:2" x14ac:dyDescent="0.25">
      <c r="B8" s="6" t="s">
        <v>7</v>
      </c>
    </row>
    <row r="9" ht="25" customHeight="1" spans="2:11" x14ac:dyDescent="0.25">
      <c r="B9" s="7" t="s">
        <v>8</v>
      </c>
      <c r="C9" s="7" t="s">
        <v>9</v>
      </c>
      <c r="D9" s="7" t="s">
        <v>10</v>
      </c>
      <c r="E9" s="7" t="s">
        <v>11</v>
      </c>
      <c r="F9" s="7" t="s">
        <v>12</v>
      </c>
      <c r="G9" s="7" t="s">
        <v>13</v>
      </c>
      <c r="H9" s="7" t="s">
        <v>14</v>
      </c>
      <c r="I9" s="7" t="s">
        <v>15</v>
      </c>
      <c r="J9" s="7" t="s">
        <v>16</v>
      </c>
      <c r="K9" s="7" t="s">
        <v>17</v>
      </c>
    </row>
    <row r="10" ht="22" customHeight="1" spans="2:11" x14ac:dyDescent="0.25">
      <c r="B10" s="8" t="s">
        <v>18</v>
      </c>
      <c r="C10" s="9" t="s">
        <v>19</v>
      </c>
      <c r="D10" s="8" t="s">
        <v>20</v>
      </c>
      <c r="E10" s="10">
        <f>SUMIFS('📋 판매원장_50건'!$J$5:$J$54, '📋 판매원장_50건'!$G$5:$G$54, B10, '📋 판매원장_50건'!$D$5:$D$54, 2025)</f>
      </c>
      <c r="F10" s="11">
        <f>SUMIFS('📋 판매원장_50건'!$L$5:$L$54, '📋 판매원장_50건'!$G$5:$G$54, B10, '📋 판매원장_50건'!$D$5:$D$54, 2025)</f>
      </c>
      <c r="G10" s="10">
        <f>SUMIFS('📋 판매원장_50건'!$J$5:$J$54, '📋 판매원장_50건'!$G$5:$G$54, B10, '📋 판매원장_50건'!$D$5:$D$54, 2026)</f>
      </c>
      <c r="H10" s="11">
        <f>SUMIFS('📋 판매원장_50건'!$L$5:$L$54, '📋 판매원장_50건'!$G$5:$G$54, B10, '📋 판매원장_50건'!$D$5:$D$54, 2026)</f>
      </c>
      <c r="I10" s="12">
        <f>(G10-E10)/E10</f>
      </c>
      <c r="J10" s="12">
        <f>(H10-F10)/F10</f>
      </c>
      <c r="K10" s="13">
        <f>H10/$H$14</f>
      </c>
    </row>
    <row r="11" ht="22" customHeight="1" spans="2:11" x14ac:dyDescent="0.25">
      <c r="B11" s="8" t="s">
        <v>21</v>
      </c>
      <c r="C11" s="9" t="s">
        <v>22</v>
      </c>
      <c r="D11" s="8" t="s">
        <v>23</v>
      </c>
      <c r="E11" s="10">
        <f>SUMIFS('📋 판매원장_50건'!$J$5:$J$54, '📋 판매원장_50건'!$G$5:$G$54, B11, '📋 판매원장_50건'!$D$5:$D$54, 2025)</f>
      </c>
      <c r="F11" s="11">
        <f>SUMIFS('📋 판매원장_50건'!$L$5:$L$54, '📋 판매원장_50건'!$G$5:$G$54, B11, '📋 판매원장_50건'!$D$5:$D$54, 2025)</f>
      </c>
      <c r="G11" s="10">
        <f>SUMIFS('📋 판매원장_50건'!$J$5:$J$54, '📋 판매원장_50건'!$G$5:$G$54, B11, '📋 판매원장_50건'!$D$5:$D$54, 2026)</f>
      </c>
      <c r="H11" s="11">
        <f>SUMIFS('📋 판매원장_50건'!$L$5:$L$54, '📋 판매원장_50건'!$G$5:$G$54, B11, '📋 판매원장_50건'!$D$5:$D$54, 2026)</f>
      </c>
      <c r="I11" s="12">
        <f>(G11-E11)/E11</f>
      </c>
      <c r="J11" s="12">
        <f>(H11-F11)/F11</f>
      </c>
      <c r="K11" s="13">
        <f>H11/$H$14</f>
      </c>
    </row>
    <row r="12" ht="22" customHeight="1" spans="2:11" x14ac:dyDescent="0.25">
      <c r="B12" s="8" t="s">
        <v>24</v>
      </c>
      <c r="C12" s="9" t="s">
        <v>25</v>
      </c>
      <c r="D12" s="8" t="s">
        <v>20</v>
      </c>
      <c r="E12" s="10">
        <f>SUMIFS('📋 판매원장_50건'!$J$5:$J$54, '📋 판매원장_50건'!$G$5:$G$54, B12, '📋 판매원장_50건'!$D$5:$D$54, 2025)</f>
      </c>
      <c r="F12" s="11">
        <f>SUMIFS('📋 판매원장_50건'!$L$5:$L$54, '📋 판매원장_50건'!$G$5:$G$54, B12, '📋 판매원장_50건'!$D$5:$D$54, 2025)</f>
      </c>
      <c r="G12" s="10">
        <f>SUMIFS('📋 판매원장_50건'!$J$5:$J$54, '📋 판매원장_50건'!$G$5:$G$54, B12, '📋 판매원장_50건'!$D$5:$D$54, 2026)</f>
      </c>
      <c r="H12" s="11">
        <f>SUMIFS('📋 판매원장_50건'!$L$5:$L$54, '📋 판매원장_50건'!$G$5:$G$54, B12, '📋 판매원장_50건'!$D$5:$D$54, 2026)</f>
      </c>
      <c r="I12" s="12">
        <f>(G12-E12)/E12</f>
      </c>
      <c r="J12" s="12">
        <f>(H12-F12)/F12</f>
      </c>
      <c r="K12" s="13">
        <f>H12/$H$14</f>
      </c>
    </row>
    <row r="13" ht="22" customHeight="1" spans="2:11" x14ac:dyDescent="0.25">
      <c r="B13" s="8" t="s">
        <v>26</v>
      </c>
      <c r="C13" s="9" t="s">
        <v>27</v>
      </c>
      <c r="D13" s="8" t="s">
        <v>20</v>
      </c>
      <c r="E13" s="10">
        <f>SUMIFS('📋 판매원장_50건'!$J$5:$J$54, '📋 판매원장_50건'!$G$5:$G$54, B13, '📋 판매원장_50건'!$D$5:$D$54, 2025)</f>
      </c>
      <c r="F13" s="11">
        <f>SUMIFS('📋 판매원장_50건'!$L$5:$L$54, '📋 판매원장_50건'!$G$5:$G$54, B13, '📋 판매원장_50건'!$D$5:$D$54, 2025)</f>
      </c>
      <c r="G13" s="10">
        <f>SUMIFS('📋 판매원장_50건'!$J$5:$J$54, '📋 판매원장_50건'!$G$5:$G$54, B13, '📋 판매원장_50건'!$D$5:$D$54, 2026)</f>
      </c>
      <c r="H13" s="11">
        <f>SUMIFS('📋 판매원장_50건'!$L$5:$L$54, '📋 판매원장_50건'!$G$5:$G$54, B13, '📋 판매원장_50건'!$D$5:$D$54, 2026)</f>
      </c>
      <c r="I13" s="12">
        <f>(G13-E13)/E13</f>
      </c>
      <c r="J13" s="12">
        <f>(H13-F13)/F13</f>
      </c>
      <c r="K13" s="13">
        <f>H13/$H$14</f>
      </c>
    </row>
    <row r="14" ht="25" customHeight="1" spans="2:11" x14ac:dyDescent="0.25">
      <c r="B14" s="14" t="s">
        <v>28</v>
      </c>
      <c r="C14" s="14" t="s">
        <v>29</v>
      </c>
      <c r="D14" s="15" t="s">
        <v>30</v>
      </c>
      <c r="E14" s="16">
        <f>SUM(E10:E13)</f>
      </c>
      <c r="F14" s="17">
        <f>SUM(F10:F13)</f>
      </c>
      <c r="G14" s="16">
        <f>SUM(G10:G13)</f>
      </c>
      <c r="H14" s="17">
        <f>SUM(H10:H13)</f>
      </c>
      <c r="I14" s="18">
        <f>(G14-E14)/E14</f>
      </c>
      <c r="J14" s="18">
        <f>(H14-F14)/F14</f>
      </c>
      <c r="K14" s="19">
        <f>SUM(K10:K13)</f>
      </c>
    </row>
    <row r="17" spans="2:2" x14ac:dyDescent="0.25">
      <c r="B17" s="6" t="s">
        <v>31</v>
      </c>
    </row>
    <row r="18" ht="25" customHeight="1" spans="2:8" x14ac:dyDescent="0.25">
      <c r="B18" s="7" t="s">
        <v>32</v>
      </c>
      <c r="C18" s="7" t="s">
        <v>33</v>
      </c>
      <c r="D18" s="7" t="s">
        <v>34</v>
      </c>
      <c r="E18" s="7" t="s">
        <v>35</v>
      </c>
      <c r="F18" s="7" t="s">
        <v>36</v>
      </c>
      <c r="G18" s="7" t="s">
        <v>37</v>
      </c>
      <c r="H18" s="7" t="s">
        <v>38</v>
      </c>
    </row>
    <row r="19" ht="22" customHeight="1" spans="2:8" x14ac:dyDescent="0.25">
      <c r="B19" s="9" t="s">
        <v>39</v>
      </c>
      <c r="C19" s="9" t="s">
        <v>40</v>
      </c>
      <c r="D19" s="10">
        <f>E14</f>
      </c>
      <c r="E19" s="10">
        <f>G14</f>
      </c>
      <c r="F19" s="10">
        <f>G19*1.25</f>
      </c>
      <c r="G19" s="12">
        <f>(G19-F19)/ABS(F19)</f>
      </c>
      <c r="H19" s="12">
        <f>(H19-G19)/ABS(G19)</f>
      </c>
    </row>
    <row r="20" ht="22" customHeight="1" spans="2:8" x14ac:dyDescent="0.25">
      <c r="B20" s="20" t="s">
        <v>41</v>
      </c>
      <c r="C20" s="20" t="s">
        <v>42</v>
      </c>
      <c r="D20" s="21">
        <f>F14</f>
      </c>
      <c r="E20" s="21">
        <f>H14</f>
      </c>
      <c r="F20" s="21">
        <f>H20*1.265</f>
      </c>
      <c r="G20" s="22">
        <f>(G20-F20)/ABS(F20)</f>
      </c>
      <c r="H20" s="22">
        <f>(H20-G20)/ABS(G20)</f>
      </c>
    </row>
    <row r="21" ht="22" customHeight="1" spans="2:8" x14ac:dyDescent="0.25">
      <c r="B21" s="9" t="s">
        <v>43</v>
      </c>
      <c r="C21" s="9" t="s">
        <v>44</v>
      </c>
      <c r="D21" s="11">
        <f>F20*0.665</f>
      </c>
      <c r="E21" s="11">
        <f>G20*0.655</f>
      </c>
      <c r="F21" s="11">
        <f>H20*0.65</f>
      </c>
      <c r="G21" s="12">
        <f>(G21-F21)/ABS(F21)</f>
      </c>
      <c r="H21" s="12">
        <f>(H21-G21)/ABS(G21)</f>
      </c>
    </row>
    <row r="22" ht="22" customHeight="1" spans="2:8" x14ac:dyDescent="0.25">
      <c r="B22" s="9" t="s">
        <v>45</v>
      </c>
      <c r="C22" s="9" t="s">
        <v>46</v>
      </c>
      <c r="D22" s="11">
        <f>F20-F21</f>
      </c>
      <c r="E22" s="11">
        <f>G20-G21</f>
      </c>
      <c r="F22" s="11">
        <f>H20-H21</f>
      </c>
      <c r="G22" s="12">
        <f>(G22-F22)/ABS(F22)</f>
      </c>
      <c r="H22" s="12">
        <f>(H22-G22)/ABS(G22)</f>
      </c>
    </row>
    <row r="23" ht="22" customHeight="1" spans="2:8" x14ac:dyDescent="0.25">
      <c r="B23" s="9" t="s">
        <v>47</v>
      </c>
      <c r="C23" s="9" t="s">
        <v>48</v>
      </c>
      <c r="D23" s="13">
        <f>F22/F20</f>
      </c>
      <c r="E23" s="13">
        <f>G22/G20</f>
      </c>
      <c r="F23" s="13">
        <f>H22/H20</f>
      </c>
      <c r="G23" s="12">
        <f>(G23-F23)/ABS(F23)</f>
      </c>
      <c r="H23" s="12">
        <f>(H23-G23)/ABS(G23)</f>
      </c>
    </row>
    <row r="24" ht="22" customHeight="1" spans="2:8" x14ac:dyDescent="0.25">
      <c r="B24" s="9" t="s">
        <v>49</v>
      </c>
      <c r="C24" s="9" t="s">
        <v>50</v>
      </c>
      <c r="D24" s="11">
        <f>F20*0.145</f>
      </c>
      <c r="E24" s="11">
        <f>G20*0.135</f>
      </c>
      <c r="F24" s="11">
        <f>H20*0.13</f>
      </c>
      <c r="G24" s="12">
        <f>(G24-F24)/ABS(F24)</f>
      </c>
      <c r="H24" s="12">
        <f>(H24-G24)/ABS(G24)</f>
      </c>
    </row>
    <row r="25" ht="22" customHeight="1" spans="2:8" x14ac:dyDescent="0.25">
      <c r="B25" s="20" t="s">
        <v>51</v>
      </c>
      <c r="C25" s="20" t="s">
        <v>52</v>
      </c>
      <c r="D25" s="21">
        <f>F22-F24</f>
      </c>
      <c r="E25" s="21">
        <f>G22-G24</f>
      </c>
      <c r="F25" s="21">
        <f>H22-H24</f>
      </c>
      <c r="G25" s="22">
        <f>(G25-F25)/ABS(F25)</f>
      </c>
      <c r="H25" s="22">
        <f>(H25-G25)/ABS(G25)</f>
      </c>
    </row>
    <row r="26" ht="22" customHeight="1" spans="2:8" x14ac:dyDescent="0.25">
      <c r="B26" s="9" t="s">
        <v>53</v>
      </c>
      <c r="C26" s="9" t="s">
        <v>54</v>
      </c>
      <c r="D26" s="11">
        <f>F25*0.80</f>
      </c>
      <c r="E26" s="11">
        <f>G25*0.80</f>
      </c>
      <c r="F26" s="11">
        <f>H25*0.80</f>
      </c>
      <c r="G26" s="12">
        <f>(G26-F26)/ABS(F26)</f>
      </c>
      <c r="H26" s="12">
        <f>(H26-G26)/ABS(G26)</f>
      </c>
    </row>
    <row r="27" ht="22" customHeight="1" spans="2:8" x14ac:dyDescent="0.25">
      <c r="B27" s="20" t="s">
        <v>55</v>
      </c>
      <c r="C27" s="20" t="s">
        <v>56</v>
      </c>
      <c r="D27" s="23">
        <f>F25/F20</f>
      </c>
      <c r="E27" s="23">
        <f>G25/G20</f>
      </c>
      <c r="F27" s="23">
        <f>H25/H20</f>
      </c>
      <c r="G27" s="22">
        <f>(G27-F27)/ABS(F27)</f>
      </c>
      <c r="H27" s="22">
        <f>(H27-G27)/ABS(G27)</f>
      </c>
    </row>
  </sheetData>
  <mergeCells count="12">
    <mergeCell ref="B2:K2"/>
    <mergeCell ref="B3:K3"/>
    <mergeCell ref="B5:C5"/>
    <mergeCell ref="D5:E5"/>
    <mergeCell ref="F5:G5"/>
    <mergeCell ref="H5:I5"/>
    <mergeCell ref="J5:K5"/>
    <mergeCell ref="B6:C6"/>
    <mergeCell ref="D6:E6"/>
    <mergeCell ref="F6:G6"/>
    <mergeCell ref="H6:I6"/>
    <mergeCell ref="J6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0"/>
  <sheetViews>
    <sheetView workbookViewId="0"/>
  </sheetViews>
  <sheetFormatPr defaultRowHeight="15" outlineLevelRow="0" outlineLevelCol="0" x14ac:dyDescent="55"/>
  <cols>
    <col min="1" max="1" width="4" customWidth="1"/>
    <col min="2" max="2" width="14" customWidth="1"/>
    <col min="3" max="3" width="22" customWidth="1"/>
    <col min="4" max="5" width="14" customWidth="1"/>
    <col min="6" max="6" width="18" customWidth="1"/>
    <col min="7" max="7" width="14" customWidth="1"/>
    <col min="8" max="8" width="18" customWidth="1"/>
    <col min="9" max="9" width="15" customWidth="1"/>
  </cols>
  <sheetData>
    <row r="2" ht="32" customHeight="1" spans="2:9" x14ac:dyDescent="0.25">
      <c r="B2" s="24" t="s">
        <v>57</v>
      </c>
      <c r="C2" s="24"/>
      <c r="D2" s="24"/>
      <c r="E2" s="24"/>
      <c r="F2" s="24"/>
      <c r="G2" s="24"/>
      <c r="H2" s="24"/>
      <c r="I2" s="24"/>
    </row>
    <row r="4" ht="24" customHeight="1" spans="2:9" x14ac:dyDescent="0.25">
      <c r="B4" s="7" t="s">
        <v>58</v>
      </c>
      <c r="C4" s="7" t="s">
        <v>59</v>
      </c>
      <c r="D4" s="7" t="s">
        <v>60</v>
      </c>
      <c r="E4" s="7" t="s">
        <v>61</v>
      </c>
      <c r="F4" s="7" t="s">
        <v>12</v>
      </c>
      <c r="G4" s="7" t="s">
        <v>62</v>
      </c>
      <c r="H4" s="7" t="s">
        <v>14</v>
      </c>
      <c r="I4" s="7" t="s">
        <v>63</v>
      </c>
    </row>
    <row r="5" ht="22" customHeight="1" spans="2:9" x14ac:dyDescent="0.25">
      <c r="B5" s="8" t="s">
        <v>64</v>
      </c>
      <c r="C5" s="9" t="s">
        <v>65</v>
      </c>
      <c r="D5" s="8" t="s">
        <v>66</v>
      </c>
      <c r="E5" s="25">
        <f>COUNTIFS('📋 판매원장_50건'!$F$5:$F$54, C5, '📋 판매원장_50건'!$D$5:$D$54, 2025)</f>
      </c>
      <c r="F5" s="11">
        <f>SUMIFS('📋 판매원장_50건'!$L$5:$L$54, '📋 판매원장_50건'!$F$5:$F$54, C5, '📋 판매원장_50건'!$D$5:$D$54, 2025)</f>
      </c>
      <c r="G5" s="25">
        <f>COUNTIFS('📋 판매원장_50건'!$F$5:$F$54, C5, '📋 판매원장_50건'!$D$5:$D$54, 2026)</f>
      </c>
      <c r="H5" s="11">
        <f>SUMIFS('📋 판매원장_50건'!$L$5:$L$54, '📋 판매원장_50건'!$F$5:$F$54, C5, '📋 판매원장_50건'!$D$5:$D$54, 2026)</f>
      </c>
      <c r="I5" s="12">
        <f>(H5-F5)/F5</f>
      </c>
    </row>
    <row r="6" ht="22" customHeight="1" spans="2:9" x14ac:dyDescent="0.25">
      <c r="B6" s="8" t="s">
        <v>67</v>
      </c>
      <c r="C6" s="9" t="s">
        <v>68</v>
      </c>
      <c r="D6" s="8" t="s">
        <v>69</v>
      </c>
      <c r="E6" s="25">
        <f>COUNTIFS('📋 판매원장_50건'!$F$5:$F$54, C6, '📋 판매원장_50건'!$D$5:$D$54, 2025)</f>
      </c>
      <c r="F6" s="11">
        <f>SUMIFS('📋 판매원장_50건'!$L$5:$L$54, '📋 판매원장_50건'!$F$5:$F$54, C6, '📋 판매원장_50건'!$D$5:$D$54, 2025)</f>
      </c>
      <c r="G6" s="25">
        <f>COUNTIFS('📋 판매원장_50건'!$F$5:$F$54, C6, '📋 판매원장_50건'!$D$5:$D$54, 2026)</f>
      </c>
      <c r="H6" s="11">
        <f>SUMIFS('📋 판매원장_50건'!$L$5:$L$54, '📋 판매원장_50건'!$F$5:$F$54, C6, '📋 판매원장_50건'!$D$5:$D$54, 2026)</f>
      </c>
      <c r="I6" s="12">
        <f>(H6-F6)/F6</f>
      </c>
    </row>
    <row r="7" ht="22" customHeight="1" spans="2:9" x14ac:dyDescent="0.25">
      <c r="B7" s="8" t="s">
        <v>70</v>
      </c>
      <c r="C7" s="9" t="s">
        <v>71</v>
      </c>
      <c r="D7" s="8" t="s">
        <v>72</v>
      </c>
      <c r="E7" s="25">
        <f>COUNTIFS('📋 판매원장_50건'!$F$5:$F$54, C7, '📋 판매원장_50건'!$D$5:$D$54, 2025)</f>
      </c>
      <c r="F7" s="11">
        <f>SUMIFS('📋 판매원장_50건'!$L$5:$L$54, '📋 판매원장_50건'!$F$5:$F$54, C7, '📋 판매원장_50건'!$D$5:$D$54, 2025)</f>
      </c>
      <c r="G7" s="25">
        <f>COUNTIFS('📋 판매원장_50건'!$F$5:$F$54, C7, '📋 판매원장_50건'!$D$5:$D$54, 2026)</f>
      </c>
      <c r="H7" s="11">
        <f>SUMIFS('📋 판매원장_50건'!$L$5:$L$54, '📋 판매원장_50건'!$F$5:$F$54, C7, '📋 판매원장_50건'!$D$5:$D$54, 2026)</f>
      </c>
      <c r="I7" s="12">
        <f>(H7-F7)/F7</f>
      </c>
    </row>
    <row r="8" ht="22" customHeight="1" spans="2:9" x14ac:dyDescent="0.25">
      <c r="B8" s="8" t="s">
        <v>73</v>
      </c>
      <c r="C8" s="9" t="s">
        <v>74</v>
      </c>
      <c r="D8" s="8" t="s">
        <v>75</v>
      </c>
      <c r="E8" s="25">
        <f>COUNTIFS('📋 판매원장_50건'!$F$5:$F$54, C8, '📋 판매원장_50건'!$D$5:$D$54, 2025)</f>
      </c>
      <c r="F8" s="11">
        <f>SUMIFS('📋 판매원장_50건'!$L$5:$L$54, '📋 판매원장_50건'!$F$5:$F$54, C8, '📋 판매원장_50건'!$D$5:$D$54, 2025)</f>
      </c>
      <c r="G8" s="25">
        <f>COUNTIFS('📋 판매원장_50건'!$F$5:$F$54, C8, '📋 판매원장_50건'!$D$5:$D$54, 2026)</f>
      </c>
      <c r="H8" s="11">
        <f>SUMIFS('📋 판매원장_50건'!$L$5:$L$54, '📋 판매원장_50건'!$F$5:$F$54, C8, '📋 판매원장_50건'!$D$5:$D$54, 2026)</f>
      </c>
      <c r="I8" s="12">
        <f>(H8-F8)/F8</f>
      </c>
    </row>
    <row r="9" ht="22" customHeight="1" spans="2:9" x14ac:dyDescent="0.25">
      <c r="B9" s="8" t="s">
        <v>76</v>
      </c>
      <c r="C9" s="9" t="s">
        <v>77</v>
      </c>
      <c r="D9" s="8" t="s">
        <v>78</v>
      </c>
      <c r="E9" s="25">
        <f>COUNTIFS('📋 판매원장_50건'!$F$5:$F$54, C9, '📋 판매원장_50건'!$D$5:$D$54, 2025)</f>
      </c>
      <c r="F9" s="11">
        <f>SUMIFS('📋 판매원장_50건'!$L$5:$L$54, '📋 판매원장_50건'!$F$5:$F$54, C9, '📋 판매원장_50건'!$D$5:$D$54, 2025)</f>
      </c>
      <c r="G9" s="25">
        <f>COUNTIFS('📋 판매원장_50건'!$F$5:$F$54, C9, '📋 판매원장_50건'!$D$5:$D$54, 2026)</f>
      </c>
      <c r="H9" s="11">
        <f>SUMIFS('📋 판매원장_50건'!$L$5:$L$54, '📋 판매원장_50건'!$F$5:$F$54, C9, '📋 판매원장_50건'!$D$5:$D$54, 2026)</f>
      </c>
      <c r="I9" s="12">
        <f>(H9-F9)/F9</f>
      </c>
    </row>
    <row r="10" ht="24" customHeight="1" spans="2:9" x14ac:dyDescent="0.25">
      <c r="B10" s="26" t="s">
        <v>28</v>
      </c>
      <c r="C10" s="26" t="s">
        <v>29</v>
      </c>
      <c r="D10" s="27" t="s">
        <v>30</v>
      </c>
      <c r="E10" s="28">
        <f>SUM(E5:E9)</f>
      </c>
      <c r="F10" s="29">
        <f>SUM(F5:F9)</f>
      </c>
      <c r="G10" s="28">
        <f>SUM(G5:G9)</f>
      </c>
      <c r="H10" s="29">
        <f>SUM(H5:H9)</f>
      </c>
      <c r="I10" s="30">
        <f>(H10-F10)/F10</f>
      </c>
    </row>
  </sheetData>
  <mergeCells count="1">
    <mergeCell ref="B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55"/>
  <sheetViews>
    <sheetView workbookViewId="0"/>
  </sheetViews>
  <sheetFormatPr defaultRowHeight="15" outlineLevelRow="0" outlineLevelCol="0" x14ac:dyDescent="55"/>
  <cols>
    <col min="1" max="1" width="6" customWidth="1"/>
    <col min="2" max="2" width="14" customWidth="1"/>
    <col min="3" max="3" width="12" customWidth="1"/>
    <col min="4" max="5" width="8" customWidth="1"/>
    <col min="6" max="6" width="18" customWidth="1"/>
    <col min="7" max="7" width="12" customWidth="1"/>
    <col min="8" max="8" width="30" customWidth="1"/>
    <col min="9" max="9" width="6" customWidth="1"/>
    <col min="10" max="11" width="12" customWidth="1"/>
    <col min="12" max="12" width="18" customWidth="1"/>
    <col min="13" max="13" width="14" customWidth="1"/>
    <col min="14" max="14" width="18" customWidth="1"/>
    <col min="15" max="16" width="16" customWidth="1"/>
  </cols>
  <sheetData>
    <row r="2" ht="32" customHeight="1" spans="2:15" x14ac:dyDescent="0.25">
      <c r="B2" s="24" t="s">
        <v>79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4" ht="25" customHeight="1" spans="1:16" x14ac:dyDescent="0.25">
      <c r="A4" s="31" t="s">
        <v>80</v>
      </c>
      <c r="B4" s="31" t="s">
        <v>81</v>
      </c>
      <c r="C4" s="31" t="s">
        <v>82</v>
      </c>
      <c r="D4" s="31" t="s">
        <v>83</v>
      </c>
      <c r="E4" s="31" t="s">
        <v>84</v>
      </c>
      <c r="F4" s="31" t="s">
        <v>59</v>
      </c>
      <c r="G4" s="31" t="s">
        <v>85</v>
      </c>
      <c r="H4" s="31" t="s">
        <v>86</v>
      </c>
      <c r="I4" s="31" t="s">
        <v>10</v>
      </c>
      <c r="J4" s="31" t="s">
        <v>87</v>
      </c>
      <c r="K4" s="31" t="s">
        <v>88</v>
      </c>
      <c r="L4" s="31" t="s">
        <v>89</v>
      </c>
      <c r="M4" s="31" t="s">
        <v>90</v>
      </c>
      <c r="N4" s="31" t="s">
        <v>91</v>
      </c>
      <c r="O4" s="31" t="s">
        <v>92</v>
      </c>
      <c r="P4" s="31" t="s">
        <v>93</v>
      </c>
    </row>
    <row r="5" ht="20" customHeight="1" spans="1:16" x14ac:dyDescent="0.25">
      <c r="A5" s="8">
        <v>1</v>
      </c>
      <c r="B5" s="8" t="s">
        <v>94</v>
      </c>
      <c r="C5" s="8" t="s">
        <v>95</v>
      </c>
      <c r="D5" s="8">
        <v>2025</v>
      </c>
      <c r="E5" s="8" t="s">
        <v>96</v>
      </c>
      <c r="F5" s="9" t="s">
        <v>65</v>
      </c>
      <c r="G5" s="8" t="s">
        <v>18</v>
      </c>
      <c r="H5" s="9" t="s">
        <v>19</v>
      </c>
      <c r="I5" s="8" t="s">
        <v>20</v>
      </c>
      <c r="J5" s="10">
        <v>1200</v>
      </c>
      <c r="K5" s="11">
        <v>34000</v>
      </c>
      <c r="L5" s="11">
        <f>J5*K5</f>
      </c>
      <c r="M5" s="11">
        <f>L5*0.1</f>
      </c>
      <c r="N5" s="11">
        <f>L5+M5</f>
      </c>
      <c r="O5" s="11">
        <f>L5*0.68</f>
      </c>
      <c r="P5" s="11">
        <f>L5-O5</f>
      </c>
    </row>
    <row r="6" ht="20" customHeight="1" spans="1:16" x14ac:dyDescent="0.25">
      <c r="A6" s="32">
        <v>2</v>
      </c>
      <c r="B6" s="32" t="s">
        <v>97</v>
      </c>
      <c r="C6" s="32" t="s">
        <v>98</v>
      </c>
      <c r="D6" s="32">
        <v>2025</v>
      </c>
      <c r="E6" s="32" t="s">
        <v>96</v>
      </c>
      <c r="F6" s="33" t="s">
        <v>68</v>
      </c>
      <c r="G6" s="32" t="s">
        <v>21</v>
      </c>
      <c r="H6" s="33" t="s">
        <v>22</v>
      </c>
      <c r="I6" s="32" t="s">
        <v>23</v>
      </c>
      <c r="J6" s="34">
        <v>850</v>
      </c>
      <c r="K6" s="35">
        <v>41500</v>
      </c>
      <c r="L6" s="35">
        <f>J6*K6</f>
      </c>
      <c r="M6" s="35">
        <f>L6*0.1</f>
      </c>
      <c r="N6" s="35">
        <f>L6+M6</f>
      </c>
      <c r="O6" s="35">
        <f>L6*0.62</f>
      </c>
      <c r="P6" s="35">
        <f>L6-O6</f>
      </c>
    </row>
    <row r="7" ht="20" customHeight="1" spans="1:16" x14ac:dyDescent="0.25">
      <c r="A7" s="8">
        <v>3</v>
      </c>
      <c r="B7" s="8" t="s">
        <v>99</v>
      </c>
      <c r="C7" s="8" t="s">
        <v>100</v>
      </c>
      <c r="D7" s="8">
        <v>2025</v>
      </c>
      <c r="E7" s="8" t="s">
        <v>96</v>
      </c>
      <c r="F7" s="9" t="s">
        <v>71</v>
      </c>
      <c r="G7" s="8" t="s">
        <v>24</v>
      </c>
      <c r="H7" s="9" t="s">
        <v>25</v>
      </c>
      <c r="I7" s="8" t="s">
        <v>20</v>
      </c>
      <c r="J7" s="10">
        <v>1500</v>
      </c>
      <c r="K7" s="11">
        <v>58000</v>
      </c>
      <c r="L7" s="11">
        <f>J7*K7</f>
      </c>
      <c r="M7" s="11">
        <f>L7*0.1</f>
      </c>
      <c r="N7" s="11">
        <f>L7+M7</f>
      </c>
      <c r="O7" s="11">
        <f>L7*0.65</f>
      </c>
      <c r="P7" s="11">
        <f>L7-O7</f>
      </c>
    </row>
    <row r="8" ht="20" customHeight="1" spans="1:16" x14ac:dyDescent="0.25">
      <c r="A8" s="32">
        <v>4</v>
      </c>
      <c r="B8" s="32" t="s">
        <v>101</v>
      </c>
      <c r="C8" s="32" t="s">
        <v>102</v>
      </c>
      <c r="D8" s="32">
        <v>2025</v>
      </c>
      <c r="E8" s="32" t="s">
        <v>96</v>
      </c>
      <c r="F8" s="33" t="s">
        <v>74</v>
      </c>
      <c r="G8" s="32" t="s">
        <v>26</v>
      </c>
      <c r="H8" s="33" t="s">
        <v>27</v>
      </c>
      <c r="I8" s="32" t="s">
        <v>20</v>
      </c>
      <c r="J8" s="34">
        <v>900</v>
      </c>
      <c r="K8" s="35">
        <v>28500</v>
      </c>
      <c r="L8" s="35">
        <f>J8*K8</f>
      </c>
      <c r="M8" s="35">
        <f>L8*0.1</f>
      </c>
      <c r="N8" s="35">
        <f>L8+M8</f>
      </c>
      <c r="O8" s="35">
        <f>L8*0.72</f>
      </c>
      <c r="P8" s="35">
        <f>L8-O8</f>
      </c>
    </row>
    <row r="9" ht="20" customHeight="1" spans="1:16" x14ac:dyDescent="0.25">
      <c r="A9" s="8">
        <v>5</v>
      </c>
      <c r="B9" s="8" t="s">
        <v>103</v>
      </c>
      <c r="C9" s="8" t="s">
        <v>104</v>
      </c>
      <c r="D9" s="8">
        <v>2025</v>
      </c>
      <c r="E9" s="8" t="s">
        <v>96</v>
      </c>
      <c r="F9" s="9" t="s">
        <v>77</v>
      </c>
      <c r="G9" s="8" t="s">
        <v>18</v>
      </c>
      <c r="H9" s="9" t="s">
        <v>19</v>
      </c>
      <c r="I9" s="8" t="s">
        <v>20</v>
      </c>
      <c r="J9" s="10">
        <v>2100</v>
      </c>
      <c r="K9" s="11">
        <v>36000</v>
      </c>
      <c r="L9" s="11">
        <f>J9*K9</f>
      </c>
      <c r="M9" s="11">
        <f>L9*0.1</f>
      </c>
      <c r="N9" s="11">
        <f>L9+M9</f>
      </c>
      <c r="O9" s="11">
        <f>L9*0.68</f>
      </c>
      <c r="P9" s="11">
        <f>L9-O9</f>
      </c>
    </row>
    <row r="10" ht="20" customHeight="1" spans="1:16" x14ac:dyDescent="0.25">
      <c r="A10" s="32">
        <v>6</v>
      </c>
      <c r="B10" s="32" t="s">
        <v>105</v>
      </c>
      <c r="C10" s="32" t="s">
        <v>106</v>
      </c>
      <c r="D10" s="32">
        <v>2025</v>
      </c>
      <c r="E10" s="32" t="s">
        <v>96</v>
      </c>
      <c r="F10" s="33" t="s">
        <v>65</v>
      </c>
      <c r="G10" s="32" t="s">
        <v>21</v>
      </c>
      <c r="H10" s="33" t="s">
        <v>22</v>
      </c>
      <c r="I10" s="32" t="s">
        <v>23</v>
      </c>
      <c r="J10" s="34">
        <v>1100</v>
      </c>
      <c r="K10" s="35">
        <v>41000</v>
      </c>
      <c r="L10" s="35">
        <f>J10*K10</f>
      </c>
      <c r="M10" s="35">
        <f>L10*0.1</f>
      </c>
      <c r="N10" s="35">
        <f>L10+M10</f>
      </c>
      <c r="O10" s="35">
        <f>L10*0.62</f>
      </c>
      <c r="P10" s="35">
        <f>L10-O10</f>
      </c>
    </row>
    <row r="11" ht="20" customHeight="1" spans="1:16" x14ac:dyDescent="0.25">
      <c r="A11" s="8">
        <v>7</v>
      </c>
      <c r="B11" s="8" t="s">
        <v>107</v>
      </c>
      <c r="C11" s="8" t="s">
        <v>108</v>
      </c>
      <c r="D11" s="8">
        <v>2025</v>
      </c>
      <c r="E11" s="8" t="s">
        <v>109</v>
      </c>
      <c r="F11" s="9" t="s">
        <v>68</v>
      </c>
      <c r="G11" s="8" t="s">
        <v>24</v>
      </c>
      <c r="H11" s="9" t="s">
        <v>25</v>
      </c>
      <c r="I11" s="8" t="s">
        <v>20</v>
      </c>
      <c r="J11" s="10">
        <v>750</v>
      </c>
      <c r="K11" s="11">
        <v>57500</v>
      </c>
      <c r="L11" s="11">
        <f>J11*K11</f>
      </c>
      <c r="M11" s="11">
        <f>L11*0.1</f>
      </c>
      <c r="N11" s="11">
        <f>L11+M11</f>
      </c>
      <c r="O11" s="11">
        <f>L11*0.65</f>
      </c>
      <c r="P11" s="11">
        <f>L11-O11</f>
      </c>
    </row>
    <row r="12" ht="20" customHeight="1" spans="1:16" x14ac:dyDescent="0.25">
      <c r="A12" s="32">
        <v>8</v>
      </c>
      <c r="B12" s="32" t="s">
        <v>110</v>
      </c>
      <c r="C12" s="32" t="s">
        <v>111</v>
      </c>
      <c r="D12" s="32">
        <v>2025</v>
      </c>
      <c r="E12" s="32" t="s">
        <v>109</v>
      </c>
      <c r="F12" s="33" t="s">
        <v>71</v>
      </c>
      <c r="G12" s="32" t="s">
        <v>26</v>
      </c>
      <c r="H12" s="33" t="s">
        <v>27</v>
      </c>
      <c r="I12" s="32" t="s">
        <v>20</v>
      </c>
      <c r="J12" s="34">
        <v>1800</v>
      </c>
      <c r="K12" s="35">
        <v>28000</v>
      </c>
      <c r="L12" s="35">
        <f>J12*K12</f>
      </c>
      <c r="M12" s="35">
        <f>L12*0.1</f>
      </c>
      <c r="N12" s="35">
        <f>L12+M12</f>
      </c>
      <c r="O12" s="35">
        <f>L12*0.72</f>
      </c>
      <c r="P12" s="35">
        <f>L12-O12</f>
      </c>
    </row>
    <row r="13" ht="20" customHeight="1" spans="1:16" x14ac:dyDescent="0.25">
      <c r="A13" s="8">
        <v>9</v>
      </c>
      <c r="B13" s="8" t="s">
        <v>112</v>
      </c>
      <c r="C13" s="8" t="s">
        <v>113</v>
      </c>
      <c r="D13" s="8">
        <v>2025</v>
      </c>
      <c r="E13" s="8" t="s">
        <v>109</v>
      </c>
      <c r="F13" s="9" t="s">
        <v>74</v>
      </c>
      <c r="G13" s="8" t="s">
        <v>18</v>
      </c>
      <c r="H13" s="9" t="s">
        <v>19</v>
      </c>
      <c r="I13" s="8" t="s">
        <v>20</v>
      </c>
      <c r="J13" s="10">
        <v>1350</v>
      </c>
      <c r="K13" s="11">
        <v>35500</v>
      </c>
      <c r="L13" s="11">
        <f>J13*K13</f>
      </c>
      <c r="M13" s="11">
        <f>L13*0.1</f>
      </c>
      <c r="N13" s="11">
        <f>L13+M13</f>
      </c>
      <c r="O13" s="11">
        <f>L13*0.68</f>
      </c>
      <c r="P13" s="11">
        <f>L13-O13</f>
      </c>
    </row>
    <row r="14" ht="20" customHeight="1" spans="1:16" x14ac:dyDescent="0.25">
      <c r="A14" s="32">
        <v>10</v>
      </c>
      <c r="B14" s="32" t="s">
        <v>114</v>
      </c>
      <c r="C14" s="32" t="s">
        <v>115</v>
      </c>
      <c r="D14" s="32">
        <v>2025</v>
      </c>
      <c r="E14" s="32" t="s">
        <v>109</v>
      </c>
      <c r="F14" s="33" t="s">
        <v>77</v>
      </c>
      <c r="G14" s="32" t="s">
        <v>21</v>
      </c>
      <c r="H14" s="33" t="s">
        <v>22</v>
      </c>
      <c r="I14" s="32" t="s">
        <v>23</v>
      </c>
      <c r="J14" s="34">
        <v>950</v>
      </c>
      <c r="K14" s="35">
        <v>43000</v>
      </c>
      <c r="L14" s="35">
        <f>J14*K14</f>
      </c>
      <c r="M14" s="35">
        <f>L14*0.1</f>
      </c>
      <c r="N14" s="35">
        <f>L14+M14</f>
      </c>
      <c r="O14" s="35">
        <f>L14*0.62</f>
      </c>
      <c r="P14" s="35">
        <f>L14-O14</f>
      </c>
    </row>
    <row r="15" ht="20" customHeight="1" spans="1:16" x14ac:dyDescent="0.25">
      <c r="A15" s="8">
        <v>11</v>
      </c>
      <c r="B15" s="8" t="s">
        <v>116</v>
      </c>
      <c r="C15" s="8" t="s">
        <v>117</v>
      </c>
      <c r="D15" s="8">
        <v>2025</v>
      </c>
      <c r="E15" s="8" t="s">
        <v>109</v>
      </c>
      <c r="F15" s="9" t="s">
        <v>65</v>
      </c>
      <c r="G15" s="8" t="s">
        <v>24</v>
      </c>
      <c r="H15" s="9" t="s">
        <v>25</v>
      </c>
      <c r="I15" s="8" t="s">
        <v>20</v>
      </c>
      <c r="J15" s="10">
        <v>1600</v>
      </c>
      <c r="K15" s="11">
        <v>57000</v>
      </c>
      <c r="L15" s="11">
        <f>J15*K15</f>
      </c>
      <c r="M15" s="11">
        <f>L15*0.1</f>
      </c>
      <c r="N15" s="11">
        <f>L15+M15</f>
      </c>
      <c r="O15" s="11">
        <f>L15*0.65</f>
      </c>
      <c r="P15" s="11">
        <f>L15-O15</f>
      </c>
    </row>
    <row r="16" ht="20" customHeight="1" spans="1:16" x14ac:dyDescent="0.25">
      <c r="A16" s="32">
        <v>12</v>
      </c>
      <c r="B16" s="32" t="s">
        <v>118</v>
      </c>
      <c r="C16" s="32" t="s">
        <v>119</v>
      </c>
      <c r="D16" s="32">
        <v>2025</v>
      </c>
      <c r="E16" s="32" t="s">
        <v>109</v>
      </c>
      <c r="F16" s="33" t="s">
        <v>68</v>
      </c>
      <c r="G16" s="32" t="s">
        <v>26</v>
      </c>
      <c r="H16" s="33" t="s">
        <v>27</v>
      </c>
      <c r="I16" s="32" t="s">
        <v>20</v>
      </c>
      <c r="J16" s="34">
        <v>2200</v>
      </c>
      <c r="K16" s="35">
        <v>27500</v>
      </c>
      <c r="L16" s="35">
        <f>J16*K16</f>
      </c>
      <c r="M16" s="35">
        <f>L16*0.1</f>
      </c>
      <c r="N16" s="35">
        <f>L16+M16</f>
      </c>
      <c r="O16" s="35">
        <f>L16*0.72</f>
      </c>
      <c r="P16" s="35">
        <f>L16-O16</f>
      </c>
    </row>
    <row r="17" ht="20" customHeight="1" spans="1:16" x14ac:dyDescent="0.25">
      <c r="A17" s="8">
        <v>13</v>
      </c>
      <c r="B17" s="8" t="s">
        <v>120</v>
      </c>
      <c r="C17" s="8" t="s">
        <v>121</v>
      </c>
      <c r="D17" s="8">
        <v>2025</v>
      </c>
      <c r="E17" s="8" t="s">
        <v>122</v>
      </c>
      <c r="F17" s="9" t="s">
        <v>71</v>
      </c>
      <c r="G17" s="8" t="s">
        <v>18</v>
      </c>
      <c r="H17" s="9" t="s">
        <v>19</v>
      </c>
      <c r="I17" s="8" t="s">
        <v>20</v>
      </c>
      <c r="J17" s="10">
        <v>1400</v>
      </c>
      <c r="K17" s="11">
        <v>35000</v>
      </c>
      <c r="L17" s="11">
        <f>J17*K17</f>
      </c>
      <c r="M17" s="11">
        <f>L17*0.1</f>
      </c>
      <c r="N17" s="11">
        <f>L17+M17</f>
      </c>
      <c r="O17" s="11">
        <f>L17*0.68</f>
      </c>
      <c r="P17" s="11">
        <f>L17-O17</f>
      </c>
    </row>
    <row r="18" ht="20" customHeight="1" spans="1:16" x14ac:dyDescent="0.25">
      <c r="A18" s="32">
        <v>14</v>
      </c>
      <c r="B18" s="32" t="s">
        <v>123</v>
      </c>
      <c r="C18" s="32" t="s">
        <v>124</v>
      </c>
      <c r="D18" s="32">
        <v>2025</v>
      </c>
      <c r="E18" s="32" t="s">
        <v>122</v>
      </c>
      <c r="F18" s="33" t="s">
        <v>74</v>
      </c>
      <c r="G18" s="32" t="s">
        <v>21</v>
      </c>
      <c r="H18" s="33" t="s">
        <v>22</v>
      </c>
      <c r="I18" s="32" t="s">
        <v>23</v>
      </c>
      <c r="J18" s="34">
        <v>800</v>
      </c>
      <c r="K18" s="35">
        <v>42500</v>
      </c>
      <c r="L18" s="35">
        <f>J18*K18</f>
      </c>
      <c r="M18" s="35">
        <f>L18*0.1</f>
      </c>
      <c r="N18" s="35">
        <f>L18+M18</f>
      </c>
      <c r="O18" s="35">
        <f>L18*0.62</f>
      </c>
      <c r="P18" s="35">
        <f>L18-O18</f>
      </c>
    </row>
    <row r="19" ht="20" customHeight="1" spans="1:16" x14ac:dyDescent="0.25">
      <c r="A19" s="8">
        <v>15</v>
      </c>
      <c r="B19" s="8" t="s">
        <v>125</v>
      </c>
      <c r="C19" s="8" t="s">
        <v>126</v>
      </c>
      <c r="D19" s="8">
        <v>2025</v>
      </c>
      <c r="E19" s="8" t="s">
        <v>122</v>
      </c>
      <c r="F19" s="9" t="s">
        <v>77</v>
      </c>
      <c r="G19" s="8" t="s">
        <v>24</v>
      </c>
      <c r="H19" s="9" t="s">
        <v>25</v>
      </c>
      <c r="I19" s="8" t="s">
        <v>20</v>
      </c>
      <c r="J19" s="10">
        <v>1950</v>
      </c>
      <c r="K19" s="11">
        <v>59000</v>
      </c>
      <c r="L19" s="11">
        <f>J19*K19</f>
      </c>
      <c r="M19" s="11">
        <f>L19*0.1</f>
      </c>
      <c r="N19" s="11">
        <f>L19+M19</f>
      </c>
      <c r="O19" s="11">
        <f>L19*0.65</f>
      </c>
      <c r="P19" s="11">
        <f>L19-O19</f>
      </c>
    </row>
    <row r="20" ht="20" customHeight="1" spans="1:16" x14ac:dyDescent="0.25">
      <c r="A20" s="32">
        <v>16</v>
      </c>
      <c r="B20" s="32" t="s">
        <v>127</v>
      </c>
      <c r="C20" s="32" t="s">
        <v>128</v>
      </c>
      <c r="D20" s="32">
        <v>2025</v>
      </c>
      <c r="E20" s="32" t="s">
        <v>122</v>
      </c>
      <c r="F20" s="33" t="s">
        <v>65</v>
      </c>
      <c r="G20" s="32" t="s">
        <v>26</v>
      </c>
      <c r="H20" s="33" t="s">
        <v>27</v>
      </c>
      <c r="I20" s="32" t="s">
        <v>20</v>
      </c>
      <c r="J20" s="34">
        <v>1250</v>
      </c>
      <c r="K20" s="35">
        <v>27000</v>
      </c>
      <c r="L20" s="35">
        <f>J20*K20</f>
      </c>
      <c r="M20" s="35">
        <f>L20*0.1</f>
      </c>
      <c r="N20" s="35">
        <f>L20+M20</f>
      </c>
      <c r="O20" s="35">
        <f>L20*0.72</f>
      </c>
      <c r="P20" s="35">
        <f>L20-O20</f>
      </c>
    </row>
    <row r="21" ht="20" customHeight="1" spans="1:16" x14ac:dyDescent="0.25">
      <c r="A21" s="8">
        <v>17</v>
      </c>
      <c r="B21" s="8" t="s">
        <v>129</v>
      </c>
      <c r="C21" s="8" t="s">
        <v>130</v>
      </c>
      <c r="D21" s="8">
        <v>2025</v>
      </c>
      <c r="E21" s="8" t="s">
        <v>122</v>
      </c>
      <c r="F21" s="9" t="s">
        <v>68</v>
      </c>
      <c r="G21" s="8" t="s">
        <v>18</v>
      </c>
      <c r="H21" s="9" t="s">
        <v>19</v>
      </c>
      <c r="I21" s="8" t="s">
        <v>20</v>
      </c>
      <c r="J21" s="10">
        <v>1700</v>
      </c>
      <c r="K21" s="11">
        <v>34500</v>
      </c>
      <c r="L21" s="11">
        <f>J21*K21</f>
      </c>
      <c r="M21" s="11">
        <f>L21*0.1</f>
      </c>
      <c r="N21" s="11">
        <f>L21+M21</f>
      </c>
      <c r="O21" s="11">
        <f>L21*0.68</f>
      </c>
      <c r="P21" s="11">
        <f>L21-O21</f>
      </c>
    </row>
    <row r="22" ht="20" customHeight="1" spans="1:16" x14ac:dyDescent="0.25">
      <c r="A22" s="32">
        <v>18</v>
      </c>
      <c r="B22" s="32" t="s">
        <v>131</v>
      </c>
      <c r="C22" s="32" t="s">
        <v>132</v>
      </c>
      <c r="D22" s="32">
        <v>2025</v>
      </c>
      <c r="E22" s="32" t="s">
        <v>122</v>
      </c>
      <c r="F22" s="33" t="s">
        <v>71</v>
      </c>
      <c r="G22" s="32" t="s">
        <v>21</v>
      </c>
      <c r="H22" s="33" t="s">
        <v>22</v>
      </c>
      <c r="I22" s="32" t="s">
        <v>23</v>
      </c>
      <c r="J22" s="34">
        <v>2400</v>
      </c>
      <c r="K22" s="35">
        <v>42000</v>
      </c>
      <c r="L22" s="35">
        <f>J22*K22</f>
      </c>
      <c r="M22" s="35">
        <f>L22*0.1</f>
      </c>
      <c r="N22" s="35">
        <f>L22+M22</f>
      </c>
      <c r="O22" s="35">
        <f>L22*0.62</f>
      </c>
      <c r="P22" s="35">
        <f>L22-O22</f>
      </c>
    </row>
    <row r="23" ht="20" customHeight="1" spans="1:16" x14ac:dyDescent="0.25">
      <c r="A23" s="8">
        <v>19</v>
      </c>
      <c r="B23" s="8" t="s">
        <v>133</v>
      </c>
      <c r="C23" s="8" t="s">
        <v>134</v>
      </c>
      <c r="D23" s="8">
        <v>2025</v>
      </c>
      <c r="E23" s="8" t="s">
        <v>135</v>
      </c>
      <c r="F23" s="9" t="s">
        <v>74</v>
      </c>
      <c r="G23" s="8" t="s">
        <v>24</v>
      </c>
      <c r="H23" s="9" t="s">
        <v>25</v>
      </c>
      <c r="I23" s="8" t="s">
        <v>20</v>
      </c>
      <c r="J23" s="10">
        <v>1150</v>
      </c>
      <c r="K23" s="11">
        <v>58500</v>
      </c>
      <c r="L23" s="11">
        <f>J23*K23</f>
      </c>
      <c r="M23" s="11">
        <f>L23*0.1</f>
      </c>
      <c r="N23" s="11">
        <f>L23+M23</f>
      </c>
      <c r="O23" s="11">
        <f>L23*0.65</f>
      </c>
      <c r="P23" s="11">
        <f>L23-O23</f>
      </c>
    </row>
    <row r="24" ht="20" customHeight="1" spans="1:16" x14ac:dyDescent="0.25">
      <c r="A24" s="32">
        <v>20</v>
      </c>
      <c r="B24" s="32" t="s">
        <v>136</v>
      </c>
      <c r="C24" s="32" t="s">
        <v>137</v>
      </c>
      <c r="D24" s="32">
        <v>2025</v>
      </c>
      <c r="E24" s="32" t="s">
        <v>135</v>
      </c>
      <c r="F24" s="33" t="s">
        <v>77</v>
      </c>
      <c r="G24" s="32" t="s">
        <v>26</v>
      </c>
      <c r="H24" s="33" t="s">
        <v>27</v>
      </c>
      <c r="I24" s="32" t="s">
        <v>20</v>
      </c>
      <c r="J24" s="34">
        <v>900</v>
      </c>
      <c r="K24" s="35">
        <v>29000</v>
      </c>
      <c r="L24" s="35">
        <f>J24*K24</f>
      </c>
      <c r="M24" s="35">
        <f>L24*0.1</f>
      </c>
      <c r="N24" s="35">
        <f>L24+M24</f>
      </c>
      <c r="O24" s="35">
        <f>L24*0.72</f>
      </c>
      <c r="P24" s="35">
        <f>L24-O24</f>
      </c>
    </row>
    <row r="25" ht="20" customHeight="1" spans="1:16" x14ac:dyDescent="0.25">
      <c r="A25" s="8">
        <v>21</v>
      </c>
      <c r="B25" s="8" t="s">
        <v>138</v>
      </c>
      <c r="C25" s="8" t="s">
        <v>139</v>
      </c>
      <c r="D25" s="8">
        <v>2025</v>
      </c>
      <c r="E25" s="8" t="s">
        <v>135</v>
      </c>
      <c r="F25" s="9" t="s">
        <v>65</v>
      </c>
      <c r="G25" s="8" t="s">
        <v>18</v>
      </c>
      <c r="H25" s="9" t="s">
        <v>19</v>
      </c>
      <c r="I25" s="8" t="s">
        <v>20</v>
      </c>
      <c r="J25" s="10">
        <v>1850</v>
      </c>
      <c r="K25" s="11">
        <v>34000</v>
      </c>
      <c r="L25" s="11">
        <f>J25*K25</f>
      </c>
      <c r="M25" s="11">
        <f>L25*0.1</f>
      </c>
      <c r="N25" s="11">
        <f>L25+M25</f>
      </c>
      <c r="O25" s="11">
        <f>L25*0.68</f>
      </c>
      <c r="P25" s="11">
        <f>L25-O25</f>
      </c>
    </row>
    <row r="26" ht="20" customHeight="1" spans="1:16" x14ac:dyDescent="0.25">
      <c r="A26" s="32">
        <v>22</v>
      </c>
      <c r="B26" s="32" t="s">
        <v>140</v>
      </c>
      <c r="C26" s="32" t="s">
        <v>141</v>
      </c>
      <c r="D26" s="32">
        <v>2025</v>
      </c>
      <c r="E26" s="32" t="s">
        <v>135</v>
      </c>
      <c r="F26" s="33" t="s">
        <v>68</v>
      </c>
      <c r="G26" s="32" t="s">
        <v>21</v>
      </c>
      <c r="H26" s="33" t="s">
        <v>22</v>
      </c>
      <c r="I26" s="32" t="s">
        <v>23</v>
      </c>
      <c r="J26" s="34">
        <v>1300</v>
      </c>
      <c r="K26" s="35">
        <v>41500</v>
      </c>
      <c r="L26" s="35">
        <f>J26*K26</f>
      </c>
      <c r="M26" s="35">
        <f>L26*0.1</f>
      </c>
      <c r="N26" s="35">
        <f>L26+M26</f>
      </c>
      <c r="O26" s="35">
        <f>L26*0.62</f>
      </c>
      <c r="P26" s="35">
        <f>L26-O26</f>
      </c>
    </row>
    <row r="27" ht="20" customHeight="1" spans="1:16" x14ac:dyDescent="0.25">
      <c r="A27" s="8">
        <v>23</v>
      </c>
      <c r="B27" s="8" t="s">
        <v>142</v>
      </c>
      <c r="C27" s="8" t="s">
        <v>143</v>
      </c>
      <c r="D27" s="8">
        <v>2025</v>
      </c>
      <c r="E27" s="8" t="s">
        <v>135</v>
      </c>
      <c r="F27" s="9" t="s">
        <v>71</v>
      </c>
      <c r="G27" s="8" t="s">
        <v>24</v>
      </c>
      <c r="H27" s="9" t="s">
        <v>25</v>
      </c>
      <c r="I27" s="8" t="s">
        <v>20</v>
      </c>
      <c r="J27" s="10">
        <v>2100</v>
      </c>
      <c r="K27" s="11">
        <v>58000</v>
      </c>
      <c r="L27" s="11">
        <f>J27*K27</f>
      </c>
      <c r="M27" s="11">
        <f>L27*0.1</f>
      </c>
      <c r="N27" s="11">
        <f>L27+M27</f>
      </c>
      <c r="O27" s="11">
        <f>L27*0.65</f>
      </c>
      <c r="P27" s="11">
        <f>L27-O27</f>
      </c>
    </row>
    <row r="28" ht="20" customHeight="1" spans="1:16" x14ac:dyDescent="0.25">
      <c r="A28" s="32">
        <v>24</v>
      </c>
      <c r="B28" s="32" t="s">
        <v>144</v>
      </c>
      <c r="C28" s="32" t="s">
        <v>145</v>
      </c>
      <c r="D28" s="32">
        <v>2025</v>
      </c>
      <c r="E28" s="32" t="s">
        <v>135</v>
      </c>
      <c r="F28" s="33" t="s">
        <v>74</v>
      </c>
      <c r="G28" s="32" t="s">
        <v>26</v>
      </c>
      <c r="H28" s="33" t="s">
        <v>27</v>
      </c>
      <c r="I28" s="32" t="s">
        <v>20</v>
      </c>
      <c r="J28" s="34">
        <v>1500</v>
      </c>
      <c r="K28" s="35">
        <v>28500</v>
      </c>
      <c r="L28" s="35">
        <f>J28*K28</f>
      </c>
      <c r="M28" s="35">
        <f>L28*0.1</f>
      </c>
      <c r="N28" s="35">
        <f>L28+M28</f>
      </c>
      <c r="O28" s="35">
        <f>L28*0.72</f>
      </c>
      <c r="P28" s="35">
        <f>L28-O28</f>
      </c>
    </row>
    <row r="29" ht="20" customHeight="1" spans="1:16" x14ac:dyDescent="0.25">
      <c r="A29" s="8">
        <v>25</v>
      </c>
      <c r="B29" s="8" t="s">
        <v>146</v>
      </c>
      <c r="C29" s="8" t="s">
        <v>147</v>
      </c>
      <c r="D29" s="8">
        <v>2025</v>
      </c>
      <c r="E29" s="8" t="s">
        <v>135</v>
      </c>
      <c r="F29" s="9" t="s">
        <v>77</v>
      </c>
      <c r="G29" s="8" t="s">
        <v>18</v>
      </c>
      <c r="H29" s="9" t="s">
        <v>19</v>
      </c>
      <c r="I29" s="8" t="s">
        <v>20</v>
      </c>
      <c r="J29" s="10">
        <v>2500</v>
      </c>
      <c r="K29" s="11">
        <v>36000</v>
      </c>
      <c r="L29" s="11">
        <f>J29*K29</f>
      </c>
      <c r="M29" s="11">
        <f>L29*0.1</f>
      </c>
      <c r="N29" s="11">
        <f>L29+M29</f>
      </c>
      <c r="O29" s="11">
        <f>L29*0.68</f>
      </c>
      <c r="P29" s="11">
        <f>L29-O29</f>
      </c>
    </row>
    <row r="30" ht="20" customHeight="1" spans="1:16" x14ac:dyDescent="0.25">
      <c r="A30" s="32">
        <v>26</v>
      </c>
      <c r="B30" s="32" t="s">
        <v>148</v>
      </c>
      <c r="C30" s="32" t="s">
        <v>149</v>
      </c>
      <c r="D30" s="32">
        <v>2026</v>
      </c>
      <c r="E30" s="32" t="s">
        <v>96</v>
      </c>
      <c r="F30" s="33" t="s">
        <v>71</v>
      </c>
      <c r="G30" s="32" t="s">
        <v>21</v>
      </c>
      <c r="H30" s="33" t="s">
        <v>22</v>
      </c>
      <c r="I30" s="32" t="s">
        <v>23</v>
      </c>
      <c r="J30" s="34">
        <v>1500</v>
      </c>
      <c r="K30" s="35">
        <v>42400</v>
      </c>
      <c r="L30" s="35">
        <f>J30*K30</f>
      </c>
      <c r="M30" s="35">
        <f>L30*0.1</f>
      </c>
      <c r="N30" s="35">
        <f>L30+M30</f>
      </c>
      <c r="O30" s="35">
        <f>L30*0.62</f>
      </c>
      <c r="P30" s="35">
        <f>L30-O30</f>
      </c>
    </row>
    <row r="31" ht="20" customHeight="1" spans="1:16" x14ac:dyDescent="0.25">
      <c r="A31" s="8">
        <v>27</v>
      </c>
      <c r="B31" s="8" t="s">
        <v>150</v>
      </c>
      <c r="C31" s="8" t="s">
        <v>151</v>
      </c>
      <c r="D31" s="8">
        <v>2026</v>
      </c>
      <c r="E31" s="8" t="s">
        <v>96</v>
      </c>
      <c r="F31" s="9" t="s">
        <v>74</v>
      </c>
      <c r="G31" s="8" t="s">
        <v>24</v>
      </c>
      <c r="H31" s="9" t="s">
        <v>25</v>
      </c>
      <c r="I31" s="8" t="s">
        <v>20</v>
      </c>
      <c r="J31" s="10">
        <v>1100</v>
      </c>
      <c r="K31" s="11">
        <v>59000</v>
      </c>
      <c r="L31" s="11">
        <f>J31*K31</f>
      </c>
      <c r="M31" s="11">
        <f>L31*0.1</f>
      </c>
      <c r="N31" s="11">
        <f>L31+M31</f>
      </c>
      <c r="O31" s="11">
        <f>L31*0.65</f>
      </c>
      <c r="P31" s="11">
        <f>L31-O31</f>
      </c>
    </row>
    <row r="32" ht="20" customHeight="1" spans="1:16" x14ac:dyDescent="0.25">
      <c r="A32" s="32">
        <v>28</v>
      </c>
      <c r="B32" s="32" t="s">
        <v>152</v>
      </c>
      <c r="C32" s="32" t="s">
        <v>153</v>
      </c>
      <c r="D32" s="32">
        <v>2026</v>
      </c>
      <c r="E32" s="32" t="s">
        <v>96</v>
      </c>
      <c r="F32" s="33" t="s">
        <v>77</v>
      </c>
      <c r="G32" s="32" t="s">
        <v>26</v>
      </c>
      <c r="H32" s="33" t="s">
        <v>27</v>
      </c>
      <c r="I32" s="32" t="s">
        <v>20</v>
      </c>
      <c r="J32" s="34">
        <v>1900</v>
      </c>
      <c r="K32" s="35">
        <v>29600</v>
      </c>
      <c r="L32" s="35">
        <f>J32*K32</f>
      </c>
      <c r="M32" s="35">
        <f>L32*0.1</f>
      </c>
      <c r="N32" s="35">
        <f>L32+M32</f>
      </c>
      <c r="O32" s="35">
        <f>L32*0.72</f>
      </c>
      <c r="P32" s="35">
        <f>L32-O32</f>
      </c>
    </row>
    <row r="33" ht="20" customHeight="1" spans="1:16" x14ac:dyDescent="0.25">
      <c r="A33" s="8">
        <v>29</v>
      </c>
      <c r="B33" s="8" t="s">
        <v>154</v>
      </c>
      <c r="C33" s="8" t="s">
        <v>155</v>
      </c>
      <c r="D33" s="8">
        <v>2026</v>
      </c>
      <c r="E33" s="8" t="s">
        <v>96</v>
      </c>
      <c r="F33" s="9" t="s">
        <v>65</v>
      </c>
      <c r="G33" s="8" t="s">
        <v>18</v>
      </c>
      <c r="H33" s="9" t="s">
        <v>19</v>
      </c>
      <c r="I33" s="8" t="s">
        <v>20</v>
      </c>
      <c r="J33" s="10">
        <v>1200</v>
      </c>
      <c r="K33" s="11">
        <v>37200</v>
      </c>
      <c r="L33" s="11">
        <f>J33*K33</f>
      </c>
      <c r="M33" s="11">
        <f>L33*0.1</f>
      </c>
      <c r="N33" s="11">
        <f>L33+M33</f>
      </c>
      <c r="O33" s="11">
        <f>L33*0.68</f>
      </c>
      <c r="P33" s="11">
        <f>L33-O33</f>
      </c>
    </row>
    <row r="34" ht="20" customHeight="1" spans="1:16" x14ac:dyDescent="0.25">
      <c r="A34" s="32">
        <v>30</v>
      </c>
      <c r="B34" s="32" t="s">
        <v>156</v>
      </c>
      <c r="C34" s="32" t="s">
        <v>157</v>
      </c>
      <c r="D34" s="32">
        <v>2026</v>
      </c>
      <c r="E34" s="32" t="s">
        <v>96</v>
      </c>
      <c r="F34" s="33" t="s">
        <v>68</v>
      </c>
      <c r="G34" s="32" t="s">
        <v>21</v>
      </c>
      <c r="H34" s="33" t="s">
        <v>22</v>
      </c>
      <c r="I34" s="32" t="s">
        <v>23</v>
      </c>
      <c r="J34" s="34">
        <v>2600</v>
      </c>
      <c r="K34" s="35">
        <v>42400</v>
      </c>
      <c r="L34" s="35">
        <f>J34*K34</f>
      </c>
      <c r="M34" s="35">
        <f>L34*0.1</f>
      </c>
      <c r="N34" s="35">
        <f>L34+M34</f>
      </c>
      <c r="O34" s="35">
        <f>L34*0.62</f>
      </c>
      <c r="P34" s="35">
        <f>L34-O34</f>
      </c>
    </row>
    <row r="35" ht="20" customHeight="1" spans="1:16" x14ac:dyDescent="0.25">
      <c r="A35" s="8">
        <v>31</v>
      </c>
      <c r="B35" s="8" t="s">
        <v>158</v>
      </c>
      <c r="C35" s="8" t="s">
        <v>159</v>
      </c>
      <c r="D35" s="8">
        <v>2026</v>
      </c>
      <c r="E35" s="8" t="s">
        <v>96</v>
      </c>
      <c r="F35" s="9" t="s">
        <v>71</v>
      </c>
      <c r="G35" s="8" t="s">
        <v>24</v>
      </c>
      <c r="H35" s="9" t="s">
        <v>25</v>
      </c>
      <c r="I35" s="8" t="s">
        <v>20</v>
      </c>
      <c r="J35" s="10">
        <v>1450</v>
      </c>
      <c r="K35" s="11">
        <v>59000</v>
      </c>
      <c r="L35" s="11">
        <f>J35*K35</f>
      </c>
      <c r="M35" s="11">
        <f>L35*0.1</f>
      </c>
      <c r="N35" s="11">
        <f>L35+M35</f>
      </c>
      <c r="O35" s="11">
        <f>L35*0.65</f>
      </c>
      <c r="P35" s="11">
        <f>L35-O35</f>
      </c>
    </row>
    <row r="36" ht="20" customHeight="1" spans="1:16" x14ac:dyDescent="0.25">
      <c r="A36" s="32">
        <v>32</v>
      </c>
      <c r="B36" s="32" t="s">
        <v>160</v>
      </c>
      <c r="C36" s="32" t="s">
        <v>161</v>
      </c>
      <c r="D36" s="32">
        <v>2026</v>
      </c>
      <c r="E36" s="32" t="s">
        <v>109</v>
      </c>
      <c r="F36" s="33" t="s">
        <v>74</v>
      </c>
      <c r="G36" s="32" t="s">
        <v>26</v>
      </c>
      <c r="H36" s="33" t="s">
        <v>27</v>
      </c>
      <c r="I36" s="32" t="s">
        <v>20</v>
      </c>
      <c r="J36" s="34">
        <v>980</v>
      </c>
      <c r="K36" s="35">
        <v>29600</v>
      </c>
      <c r="L36" s="35">
        <f>J36*K36</f>
      </c>
      <c r="M36" s="35">
        <f>L36*0.1</f>
      </c>
      <c r="N36" s="35">
        <f>L36+M36</f>
      </c>
      <c r="O36" s="35">
        <f>L36*0.72</f>
      </c>
      <c r="P36" s="35">
        <f>L36-O36</f>
      </c>
    </row>
    <row r="37" ht="20" customHeight="1" spans="1:16" x14ac:dyDescent="0.25">
      <c r="A37" s="8">
        <v>33</v>
      </c>
      <c r="B37" s="8" t="s">
        <v>162</v>
      </c>
      <c r="C37" s="8" t="s">
        <v>163</v>
      </c>
      <c r="D37" s="8">
        <v>2026</v>
      </c>
      <c r="E37" s="8" t="s">
        <v>109</v>
      </c>
      <c r="F37" s="9" t="s">
        <v>77</v>
      </c>
      <c r="G37" s="8" t="s">
        <v>18</v>
      </c>
      <c r="H37" s="9" t="s">
        <v>19</v>
      </c>
      <c r="I37" s="8" t="s">
        <v>20</v>
      </c>
      <c r="J37" s="10">
        <v>2250</v>
      </c>
      <c r="K37" s="11">
        <v>37200</v>
      </c>
      <c r="L37" s="11">
        <f>J37*K37</f>
      </c>
      <c r="M37" s="11">
        <f>L37*0.1</f>
      </c>
      <c r="N37" s="11">
        <f>L37+M37</f>
      </c>
      <c r="O37" s="11">
        <f>L37*0.68</f>
      </c>
      <c r="P37" s="11">
        <f>L37-O37</f>
      </c>
    </row>
    <row r="38" ht="20" customHeight="1" spans="1:16" x14ac:dyDescent="0.25">
      <c r="A38" s="32">
        <v>34</v>
      </c>
      <c r="B38" s="32" t="s">
        <v>164</v>
      </c>
      <c r="C38" s="32" t="s">
        <v>165</v>
      </c>
      <c r="D38" s="32">
        <v>2026</v>
      </c>
      <c r="E38" s="32" t="s">
        <v>109</v>
      </c>
      <c r="F38" s="33" t="s">
        <v>65</v>
      </c>
      <c r="G38" s="32" t="s">
        <v>21</v>
      </c>
      <c r="H38" s="33" t="s">
        <v>22</v>
      </c>
      <c r="I38" s="32" t="s">
        <v>23</v>
      </c>
      <c r="J38" s="34">
        <v>1700</v>
      </c>
      <c r="K38" s="35">
        <v>42400</v>
      </c>
      <c r="L38" s="35">
        <f>J38*K38</f>
      </c>
      <c r="M38" s="35">
        <f>L38*0.1</f>
      </c>
      <c r="N38" s="35">
        <f>L38+M38</f>
      </c>
      <c r="O38" s="35">
        <f>L38*0.62</f>
      </c>
      <c r="P38" s="35">
        <f>L38-O38</f>
      </c>
    </row>
    <row r="39" ht="20" customHeight="1" spans="1:16" x14ac:dyDescent="0.25">
      <c r="A39" s="8">
        <v>35</v>
      </c>
      <c r="B39" s="8" t="s">
        <v>166</v>
      </c>
      <c r="C39" s="8" t="s">
        <v>167</v>
      </c>
      <c r="D39" s="8">
        <v>2026</v>
      </c>
      <c r="E39" s="8" t="s">
        <v>109</v>
      </c>
      <c r="F39" s="9" t="s">
        <v>68</v>
      </c>
      <c r="G39" s="8" t="s">
        <v>24</v>
      </c>
      <c r="H39" s="9" t="s">
        <v>25</v>
      </c>
      <c r="I39" s="8" t="s">
        <v>20</v>
      </c>
      <c r="J39" s="10">
        <v>1250</v>
      </c>
      <c r="K39" s="11">
        <v>59000</v>
      </c>
      <c r="L39" s="11">
        <f>J39*K39</f>
      </c>
      <c r="M39" s="11">
        <f>L39*0.1</f>
      </c>
      <c r="N39" s="11">
        <f>L39+M39</f>
      </c>
      <c r="O39" s="11">
        <f>L39*0.65</f>
      </c>
      <c r="P39" s="11">
        <f>L39-O39</f>
      </c>
    </row>
    <row r="40" ht="20" customHeight="1" spans="1:16" x14ac:dyDescent="0.25">
      <c r="A40" s="32">
        <v>36</v>
      </c>
      <c r="B40" s="32" t="s">
        <v>168</v>
      </c>
      <c r="C40" s="32" t="s">
        <v>169</v>
      </c>
      <c r="D40" s="32">
        <v>2026</v>
      </c>
      <c r="E40" s="32" t="s">
        <v>109</v>
      </c>
      <c r="F40" s="33" t="s">
        <v>71</v>
      </c>
      <c r="G40" s="32" t="s">
        <v>26</v>
      </c>
      <c r="H40" s="33" t="s">
        <v>27</v>
      </c>
      <c r="I40" s="32" t="s">
        <v>20</v>
      </c>
      <c r="J40" s="34">
        <v>2050</v>
      </c>
      <c r="K40" s="35">
        <v>29600</v>
      </c>
      <c r="L40" s="35">
        <f>J40*K40</f>
      </c>
      <c r="M40" s="35">
        <f>L40*0.1</f>
      </c>
      <c r="N40" s="35">
        <f>L40+M40</f>
      </c>
      <c r="O40" s="35">
        <f>L40*0.72</f>
      </c>
      <c r="P40" s="35">
        <f>L40-O40</f>
      </c>
    </row>
    <row r="41" ht="20" customHeight="1" spans="1:16" x14ac:dyDescent="0.25">
      <c r="A41" s="8">
        <v>37</v>
      </c>
      <c r="B41" s="8" t="s">
        <v>170</v>
      </c>
      <c r="C41" s="8" t="s">
        <v>171</v>
      </c>
      <c r="D41" s="8">
        <v>2026</v>
      </c>
      <c r="E41" s="8" t="s">
        <v>109</v>
      </c>
      <c r="F41" s="9" t="s">
        <v>74</v>
      </c>
      <c r="G41" s="8" t="s">
        <v>18</v>
      </c>
      <c r="H41" s="9" t="s">
        <v>19</v>
      </c>
      <c r="I41" s="8" t="s">
        <v>20</v>
      </c>
      <c r="J41" s="10">
        <v>2750</v>
      </c>
      <c r="K41" s="11">
        <v>37200</v>
      </c>
      <c r="L41" s="11">
        <f>J41*K41</f>
      </c>
      <c r="M41" s="11">
        <f>L41*0.1</f>
      </c>
      <c r="N41" s="11">
        <f>L41+M41</f>
      </c>
      <c r="O41" s="11">
        <f>L41*0.68</f>
      </c>
      <c r="P41" s="11">
        <f>L41-O41</f>
      </c>
    </row>
    <row r="42" ht="20" customHeight="1" spans="1:16" x14ac:dyDescent="0.25">
      <c r="A42" s="32">
        <v>38</v>
      </c>
      <c r="B42" s="32" t="s">
        <v>172</v>
      </c>
      <c r="C42" s="32" t="s">
        <v>173</v>
      </c>
      <c r="D42" s="32">
        <v>2026</v>
      </c>
      <c r="E42" s="32" t="s">
        <v>122</v>
      </c>
      <c r="F42" s="33" t="s">
        <v>77</v>
      </c>
      <c r="G42" s="32" t="s">
        <v>21</v>
      </c>
      <c r="H42" s="33" t="s">
        <v>22</v>
      </c>
      <c r="I42" s="32" t="s">
        <v>23</v>
      </c>
      <c r="J42" s="34">
        <v>1800</v>
      </c>
      <c r="K42" s="35">
        <v>42400</v>
      </c>
      <c r="L42" s="35">
        <f>J42*K42</f>
      </c>
      <c r="M42" s="35">
        <f>L42*0.1</f>
      </c>
      <c r="N42" s="35">
        <f>L42+M42</f>
      </c>
      <c r="O42" s="35">
        <f>L42*0.62</f>
      </c>
      <c r="P42" s="35">
        <f>L42-O42</f>
      </c>
    </row>
    <row r="43" ht="20" customHeight="1" spans="1:16" x14ac:dyDescent="0.25">
      <c r="A43" s="8">
        <v>39</v>
      </c>
      <c r="B43" s="8" t="s">
        <v>174</v>
      </c>
      <c r="C43" s="8" t="s">
        <v>175</v>
      </c>
      <c r="D43" s="8">
        <v>2026</v>
      </c>
      <c r="E43" s="8" t="s">
        <v>122</v>
      </c>
      <c r="F43" s="9" t="s">
        <v>65</v>
      </c>
      <c r="G43" s="8" t="s">
        <v>24</v>
      </c>
      <c r="H43" s="9" t="s">
        <v>25</v>
      </c>
      <c r="I43" s="8" t="s">
        <v>20</v>
      </c>
      <c r="J43" s="10">
        <v>1050</v>
      </c>
      <c r="K43" s="11">
        <v>59000</v>
      </c>
      <c r="L43" s="11">
        <f>J43*K43</f>
      </c>
      <c r="M43" s="11">
        <f>L43*0.1</f>
      </c>
      <c r="N43" s="11">
        <f>L43+M43</f>
      </c>
      <c r="O43" s="11">
        <f>L43*0.65</f>
      </c>
      <c r="P43" s="11">
        <f>L43-O43</f>
      </c>
    </row>
    <row r="44" ht="20" customHeight="1" spans="1:16" x14ac:dyDescent="0.25">
      <c r="A44" s="32">
        <v>40</v>
      </c>
      <c r="B44" s="32" t="s">
        <v>176</v>
      </c>
      <c r="C44" s="32" t="s">
        <v>177</v>
      </c>
      <c r="D44" s="32">
        <v>2026</v>
      </c>
      <c r="E44" s="32" t="s">
        <v>122</v>
      </c>
      <c r="F44" s="33" t="s">
        <v>68</v>
      </c>
      <c r="G44" s="32" t="s">
        <v>26</v>
      </c>
      <c r="H44" s="33" t="s">
        <v>27</v>
      </c>
      <c r="I44" s="32" t="s">
        <v>20</v>
      </c>
      <c r="J44" s="34">
        <v>2450</v>
      </c>
      <c r="K44" s="35">
        <v>29600</v>
      </c>
      <c r="L44" s="35">
        <f>J44*K44</f>
      </c>
      <c r="M44" s="35">
        <f>L44*0.1</f>
      </c>
      <c r="N44" s="35">
        <f>L44+M44</f>
      </c>
      <c r="O44" s="35">
        <f>L44*0.72</f>
      </c>
      <c r="P44" s="35">
        <f>L44-O44</f>
      </c>
    </row>
    <row r="45" ht="20" customHeight="1" spans="1:16" x14ac:dyDescent="0.25">
      <c r="A45" s="8">
        <v>41</v>
      </c>
      <c r="B45" s="8" t="s">
        <v>178</v>
      </c>
      <c r="C45" s="8" t="s">
        <v>179</v>
      </c>
      <c r="D45" s="8">
        <v>2026</v>
      </c>
      <c r="E45" s="8" t="s">
        <v>122</v>
      </c>
      <c r="F45" s="9" t="s">
        <v>71</v>
      </c>
      <c r="G45" s="8" t="s">
        <v>18</v>
      </c>
      <c r="H45" s="9" t="s">
        <v>19</v>
      </c>
      <c r="I45" s="8" t="s">
        <v>20</v>
      </c>
      <c r="J45" s="10">
        <v>1600</v>
      </c>
      <c r="K45" s="11">
        <v>37200</v>
      </c>
      <c r="L45" s="11">
        <f>J45*K45</f>
      </c>
      <c r="M45" s="11">
        <f>L45*0.1</f>
      </c>
      <c r="N45" s="11">
        <f>L45+M45</f>
      </c>
      <c r="O45" s="11">
        <f>L45*0.68</f>
      </c>
      <c r="P45" s="11">
        <f>L45-O45</f>
      </c>
    </row>
    <row r="46" ht="20" customHeight="1" spans="1:16" x14ac:dyDescent="0.25">
      <c r="A46" s="32">
        <v>42</v>
      </c>
      <c r="B46" s="32" t="s">
        <v>180</v>
      </c>
      <c r="C46" s="32" t="s">
        <v>181</v>
      </c>
      <c r="D46" s="32">
        <v>2026</v>
      </c>
      <c r="E46" s="32" t="s">
        <v>122</v>
      </c>
      <c r="F46" s="33" t="s">
        <v>74</v>
      </c>
      <c r="G46" s="32" t="s">
        <v>21</v>
      </c>
      <c r="H46" s="33" t="s">
        <v>22</v>
      </c>
      <c r="I46" s="32" t="s">
        <v>23</v>
      </c>
      <c r="J46" s="34">
        <v>2150</v>
      </c>
      <c r="K46" s="35">
        <v>42400</v>
      </c>
      <c r="L46" s="35">
        <f>J46*K46</f>
      </c>
      <c r="M46" s="35">
        <f>L46*0.1</f>
      </c>
      <c r="N46" s="35">
        <f>L46+M46</f>
      </c>
      <c r="O46" s="35">
        <f>L46*0.62</f>
      </c>
      <c r="P46" s="35">
        <f>L46-O46</f>
      </c>
    </row>
    <row r="47" ht="20" customHeight="1" spans="1:16" x14ac:dyDescent="0.25">
      <c r="A47" s="8">
        <v>43</v>
      </c>
      <c r="B47" s="8" t="s">
        <v>182</v>
      </c>
      <c r="C47" s="8" t="s">
        <v>183</v>
      </c>
      <c r="D47" s="8">
        <v>2026</v>
      </c>
      <c r="E47" s="8" t="s">
        <v>122</v>
      </c>
      <c r="F47" s="9" t="s">
        <v>77</v>
      </c>
      <c r="G47" s="8" t="s">
        <v>24</v>
      </c>
      <c r="H47" s="9" t="s">
        <v>25</v>
      </c>
      <c r="I47" s="8" t="s">
        <v>20</v>
      </c>
      <c r="J47" s="10">
        <v>2900</v>
      </c>
      <c r="K47" s="11">
        <v>59000</v>
      </c>
      <c r="L47" s="11">
        <f>J47*K47</f>
      </c>
      <c r="M47" s="11">
        <f>L47*0.1</f>
      </c>
      <c r="N47" s="11">
        <f>L47+M47</f>
      </c>
      <c r="O47" s="11">
        <f>L47*0.65</f>
      </c>
      <c r="P47" s="11">
        <f>L47-O47</f>
      </c>
    </row>
    <row r="48" ht="20" customHeight="1" spans="1:16" x14ac:dyDescent="0.25">
      <c r="A48" s="32">
        <v>44</v>
      </c>
      <c r="B48" s="32" t="s">
        <v>184</v>
      </c>
      <c r="C48" s="32" t="s">
        <v>185</v>
      </c>
      <c r="D48" s="32">
        <v>2026</v>
      </c>
      <c r="E48" s="32" t="s">
        <v>135</v>
      </c>
      <c r="F48" s="33" t="s">
        <v>65</v>
      </c>
      <c r="G48" s="32" t="s">
        <v>26</v>
      </c>
      <c r="H48" s="33" t="s">
        <v>27</v>
      </c>
      <c r="I48" s="32" t="s">
        <v>20</v>
      </c>
      <c r="J48" s="34">
        <v>1500</v>
      </c>
      <c r="K48" s="35">
        <v>29600</v>
      </c>
      <c r="L48" s="35">
        <f>J48*K48</f>
      </c>
      <c r="M48" s="35">
        <f>L48*0.1</f>
      </c>
      <c r="N48" s="35">
        <f>L48+M48</f>
      </c>
      <c r="O48" s="35">
        <f>L48*0.72</f>
      </c>
      <c r="P48" s="35">
        <f>L48-O48</f>
      </c>
    </row>
    <row r="49" ht="20" customHeight="1" spans="1:16" x14ac:dyDescent="0.25">
      <c r="A49" s="8">
        <v>45</v>
      </c>
      <c r="B49" s="8" t="s">
        <v>186</v>
      </c>
      <c r="C49" s="8" t="s">
        <v>187</v>
      </c>
      <c r="D49" s="8">
        <v>2026</v>
      </c>
      <c r="E49" s="8" t="s">
        <v>135</v>
      </c>
      <c r="F49" s="9" t="s">
        <v>68</v>
      </c>
      <c r="G49" s="8" t="s">
        <v>18</v>
      </c>
      <c r="H49" s="9" t="s">
        <v>19</v>
      </c>
      <c r="I49" s="8" t="s">
        <v>20</v>
      </c>
      <c r="J49" s="10">
        <v>1200</v>
      </c>
      <c r="K49" s="11">
        <v>37200</v>
      </c>
      <c r="L49" s="11">
        <f>J49*K49</f>
      </c>
      <c r="M49" s="11">
        <f>L49*0.1</f>
      </c>
      <c r="N49" s="11">
        <f>L49+M49</f>
      </c>
      <c r="O49" s="11">
        <f>L49*0.68</f>
      </c>
      <c r="P49" s="11">
        <f>L49-O49</f>
      </c>
    </row>
    <row r="50" ht="20" customHeight="1" spans="1:16" x14ac:dyDescent="0.25">
      <c r="A50" s="32">
        <v>46</v>
      </c>
      <c r="B50" s="32" t="s">
        <v>188</v>
      </c>
      <c r="C50" s="32" t="s">
        <v>189</v>
      </c>
      <c r="D50" s="32">
        <v>2026</v>
      </c>
      <c r="E50" s="32" t="s">
        <v>135</v>
      </c>
      <c r="F50" s="33" t="s">
        <v>71</v>
      </c>
      <c r="G50" s="32" t="s">
        <v>21</v>
      </c>
      <c r="H50" s="33" t="s">
        <v>22</v>
      </c>
      <c r="I50" s="32" t="s">
        <v>23</v>
      </c>
      <c r="J50" s="34">
        <v>2350</v>
      </c>
      <c r="K50" s="35">
        <v>42400</v>
      </c>
      <c r="L50" s="35">
        <f>J50*K50</f>
      </c>
      <c r="M50" s="35">
        <f>L50*0.1</f>
      </c>
      <c r="N50" s="35">
        <f>L50+M50</f>
      </c>
      <c r="O50" s="35">
        <f>L50*0.62</f>
      </c>
      <c r="P50" s="35">
        <f>L50-O50</f>
      </c>
    </row>
    <row r="51" ht="20" customHeight="1" spans="1:16" x14ac:dyDescent="0.25">
      <c r="A51" s="8">
        <v>47</v>
      </c>
      <c r="B51" s="8" t="s">
        <v>190</v>
      </c>
      <c r="C51" s="8" t="s">
        <v>191</v>
      </c>
      <c r="D51" s="8">
        <v>2026</v>
      </c>
      <c r="E51" s="8" t="s">
        <v>135</v>
      </c>
      <c r="F51" s="9" t="s">
        <v>74</v>
      </c>
      <c r="G51" s="8" t="s">
        <v>24</v>
      </c>
      <c r="H51" s="9" t="s">
        <v>25</v>
      </c>
      <c r="I51" s="8" t="s">
        <v>20</v>
      </c>
      <c r="J51" s="10">
        <v>1700</v>
      </c>
      <c r="K51" s="11">
        <v>59000</v>
      </c>
      <c r="L51" s="11">
        <f>J51*K51</f>
      </c>
      <c r="M51" s="11">
        <f>L51*0.1</f>
      </c>
      <c r="N51" s="11">
        <f>L51+M51</f>
      </c>
      <c r="O51" s="11">
        <f>L51*0.65</f>
      </c>
      <c r="P51" s="11">
        <f>L51-O51</f>
      </c>
    </row>
    <row r="52" ht="20" customHeight="1" spans="1:16" x14ac:dyDescent="0.25">
      <c r="A52" s="32">
        <v>48</v>
      </c>
      <c r="B52" s="32" t="s">
        <v>192</v>
      </c>
      <c r="C52" s="32" t="s">
        <v>193</v>
      </c>
      <c r="D52" s="32">
        <v>2026</v>
      </c>
      <c r="E52" s="32" t="s">
        <v>135</v>
      </c>
      <c r="F52" s="33" t="s">
        <v>77</v>
      </c>
      <c r="G52" s="32" t="s">
        <v>26</v>
      </c>
      <c r="H52" s="33" t="s">
        <v>27</v>
      </c>
      <c r="I52" s="32" t="s">
        <v>20</v>
      </c>
      <c r="J52" s="34">
        <v>2650</v>
      </c>
      <c r="K52" s="35">
        <v>29600</v>
      </c>
      <c r="L52" s="35">
        <f>J52*K52</f>
      </c>
      <c r="M52" s="35">
        <f>L52*0.1</f>
      </c>
      <c r="N52" s="35">
        <f>L52+M52</f>
      </c>
      <c r="O52" s="35">
        <f>L52*0.72</f>
      </c>
      <c r="P52" s="35">
        <f>L52-O52</f>
      </c>
    </row>
    <row r="53" ht="20" customHeight="1" spans="1:16" x14ac:dyDescent="0.25">
      <c r="A53" s="8">
        <v>49</v>
      </c>
      <c r="B53" s="8" t="s">
        <v>194</v>
      </c>
      <c r="C53" s="8" t="s">
        <v>195</v>
      </c>
      <c r="D53" s="8">
        <v>2026</v>
      </c>
      <c r="E53" s="8" t="s">
        <v>135</v>
      </c>
      <c r="F53" s="9" t="s">
        <v>65</v>
      </c>
      <c r="G53" s="8" t="s">
        <v>18</v>
      </c>
      <c r="H53" s="9" t="s">
        <v>19</v>
      </c>
      <c r="I53" s="8" t="s">
        <v>20</v>
      </c>
      <c r="J53" s="10">
        <v>1900</v>
      </c>
      <c r="K53" s="11">
        <v>37200</v>
      </c>
      <c r="L53" s="11">
        <f>J53*K53</f>
      </c>
      <c r="M53" s="11">
        <f>L53*0.1</f>
      </c>
      <c r="N53" s="11">
        <f>L53+M53</f>
      </c>
      <c r="O53" s="11">
        <f>L53*0.68</f>
      </c>
      <c r="P53" s="11">
        <f>L53-O53</f>
      </c>
    </row>
    <row r="54" ht="20" customHeight="1" spans="1:16" x14ac:dyDescent="0.25">
      <c r="A54" s="32">
        <v>50</v>
      </c>
      <c r="B54" s="32" t="s">
        <v>196</v>
      </c>
      <c r="C54" s="32" t="s">
        <v>197</v>
      </c>
      <c r="D54" s="32">
        <v>2026</v>
      </c>
      <c r="E54" s="32" t="s">
        <v>135</v>
      </c>
      <c r="F54" s="33" t="s">
        <v>68</v>
      </c>
      <c r="G54" s="32" t="s">
        <v>21</v>
      </c>
      <c r="H54" s="33" t="s">
        <v>22</v>
      </c>
      <c r="I54" s="32" t="s">
        <v>23</v>
      </c>
      <c r="J54" s="34">
        <v>3100</v>
      </c>
      <c r="K54" s="35">
        <v>42400</v>
      </c>
      <c r="L54" s="35">
        <f>J54*K54</f>
      </c>
      <c r="M54" s="35">
        <f>L54*0.1</f>
      </c>
      <c r="N54" s="35">
        <f>L54+M54</f>
      </c>
      <c r="O54" s="35">
        <f>L54*0.62</f>
      </c>
      <c r="P54" s="35">
        <f>L54-O54</f>
      </c>
    </row>
    <row r="55" ht="24" customHeight="1" spans="1:16" x14ac:dyDescent="0.25">
      <c r="A55" s="26" t="s">
        <v>28</v>
      </c>
      <c r="B55" s="26"/>
      <c r="C55" s="26"/>
      <c r="D55" s="26"/>
      <c r="E55" s="26"/>
      <c r="F55" s="26" t="s">
        <v>198</v>
      </c>
      <c r="G55" s="26"/>
      <c r="H55" s="26"/>
      <c r="I55" s="26"/>
      <c r="J55" s="36">
        <f>SUM(J5:J54)</f>
      </c>
      <c r="K55" s="26"/>
      <c r="L55" s="29">
        <f>SUM(L5:L54)</f>
      </c>
      <c r="M55" s="29">
        <f>SUM(M5:M54)</f>
      </c>
      <c r="N55" s="29">
        <f>SUM(N5:N54)</f>
      </c>
      <c r="O55" s="29">
        <f>SUM(O5:O54)</f>
      </c>
      <c r="P55" s="29">
        <f>SUM(P5:P54)</f>
      </c>
    </row>
  </sheetData>
  <mergeCells count="1">
    <mergeCell ref="B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7"/>
  <sheetViews>
    <sheetView workbookViewId="0"/>
  </sheetViews>
  <sheetFormatPr defaultRowHeight="15" outlineLevelRow="0" outlineLevelCol="0" x14ac:dyDescent="55"/>
  <cols>
    <col min="1" max="1" width="4" customWidth="1"/>
    <col min="2" max="2" width="30" customWidth="1"/>
    <col min="3" max="3" width="14" customWidth="1"/>
    <col min="4" max="4" width="18" customWidth="1"/>
    <col min="5" max="5" width="20" customWidth="1"/>
    <col min="6" max="6" width="18" customWidth="1"/>
    <col min="7" max="7" width="16" customWidth="1"/>
    <col min="8" max="8" width="18" customWidth="1"/>
    <col min="9" max="9" width="14" customWidth="1"/>
  </cols>
  <sheetData>
    <row r="2" ht="32" customHeight="1" spans="2:8" x14ac:dyDescent="0.25">
      <c r="B2" s="24" t="s">
        <v>199</v>
      </c>
      <c r="C2" s="24"/>
      <c r="D2" s="24"/>
      <c r="E2" s="24"/>
      <c r="F2" s="24"/>
      <c r="G2" s="24"/>
      <c r="H2" s="24"/>
    </row>
    <row r="4" ht="24" customHeight="1" spans="2:9" x14ac:dyDescent="0.25">
      <c r="B4" s="7" t="s">
        <v>200</v>
      </c>
      <c r="C4" s="7" t="s">
        <v>201</v>
      </c>
      <c r="D4" s="7" t="s">
        <v>202</v>
      </c>
      <c r="E4" s="7" t="s">
        <v>203</v>
      </c>
      <c r="F4" s="7" t="s">
        <v>204</v>
      </c>
      <c r="G4" s="7" t="s">
        <v>205</v>
      </c>
      <c r="H4" s="7" t="s">
        <v>206</v>
      </c>
      <c r="I4" s="7" t="s">
        <v>207</v>
      </c>
    </row>
    <row r="5" ht="22" customHeight="1" spans="2:9" x14ac:dyDescent="0.25">
      <c r="B5" s="9" t="s">
        <v>208</v>
      </c>
      <c r="C5" s="37">
        <v>0.15</v>
      </c>
      <c r="D5" s="10">
        <f>'📊 경영대시보드_요약'!G19*1.15</f>
      </c>
      <c r="E5" s="11">
        <f>'📊 경영대시보드_요약'!G20*1.15</f>
      </c>
      <c r="F5" s="11">
        <f>F5*0.66</f>
      </c>
      <c r="G5" s="11">
        <f>F5*0.14</f>
      </c>
      <c r="H5" s="11">
        <f>F5-G5-H5</f>
      </c>
      <c r="I5" s="13">
        <f>I5/F5</f>
      </c>
    </row>
    <row r="6" ht="22" customHeight="1" spans="2:9" x14ac:dyDescent="0.25">
      <c r="B6" s="9" t="s">
        <v>209</v>
      </c>
      <c r="C6" s="37">
        <v>0.265</v>
      </c>
      <c r="D6" s="10">
        <f>'📊 경영대시보드_요약'!G19*1.25</f>
      </c>
      <c r="E6" s="11">
        <f>'📊 경영대시보드_요약'!G20*1.265</f>
      </c>
      <c r="F6" s="11">
        <f>F6*0.65</f>
      </c>
      <c r="G6" s="11">
        <f>F6*0.13</f>
      </c>
      <c r="H6" s="11">
        <f>F6-G6-H6</f>
      </c>
      <c r="I6" s="13">
        <f>I6/F6</f>
      </c>
    </row>
    <row r="7" ht="22" customHeight="1" spans="2:9" x14ac:dyDescent="0.25">
      <c r="B7" s="9" t="s">
        <v>210</v>
      </c>
      <c r="C7" s="37">
        <v>0.38</v>
      </c>
      <c r="D7" s="10">
        <f>'📊 경영대시보드_요약'!G19*1.35</f>
      </c>
      <c r="E7" s="11">
        <f>'📊 경영대시보드_요약'!G20*1.38</f>
      </c>
      <c r="F7" s="11">
        <f>F7*0.64</f>
      </c>
      <c r="G7" s="11">
        <f>F7*0.125</f>
      </c>
      <c r="H7" s="11">
        <f>F7-G7-H7</f>
      </c>
      <c r="I7" s="13">
        <f>I7/F7</f>
      </c>
    </row>
  </sheetData>
  <mergeCells count="1">
    <mergeCell ref="B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📊 경영대시보드_요약</vt:lpstr>
      <vt:lpstr>📈 거래처별_실적_비교</vt:lpstr>
      <vt:lpstr>📋 판매원장_50건</vt:lpstr>
      <vt:lpstr>🔮 2027_손익추정모델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박정재 (Park Jung Jae)</dc:creator>
  <dc:title/>
  <dc:subject/>
  <dc:description/>
  <cp:keywords/>
  <cp:category/>
  <cp:lastModifiedBy>박정재</cp:lastModifiedBy>
  <dcterms:created xsi:type="dcterms:W3CDTF">2026-09-27T00:00:00Z</dcterms:created>
  <dcterms:modified xsi:type="dcterms:W3CDTF">2026-09-27T00:00:00Z</dcterms:modified>
</cp:coreProperties>
</file>