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소재별 판매실적 종합" state="visible" r:id="rId4"/>
  </sheets>
  <calcPr calcId="171027"/>
</workbook>
</file>

<file path=xl/sharedStrings.xml><?xml version="1.0" encoding="utf-8"?>
<sst xmlns="http://schemas.openxmlformats.org/spreadsheetml/2006/main" count="53" uniqueCount="44">
  <si>
    <t>(주)넥스트머티리얼즈 - 2025년 첨단소재 영업 및 판매 실적 분석표</t>
  </si>
  <si>
    <t>※ 상기 작업물은 이해를 돕기위한 가상의 데이터입니다.</t>
  </si>
  <si>
    <t>총 판매대금</t>
  </si>
  <si>
    <t>총 판매량(kg)</t>
  </si>
  <si>
    <t>주요 B2B 거래처</t>
  </si>
  <si>
    <t>평균 마진율</t>
  </si>
  <si>
    <t>12개사</t>
  </si>
  <si>
    <t>No.</t>
  </si>
  <si>
    <t>품목코드</t>
  </si>
  <si>
    <t>핵심 가상소재명</t>
  </si>
  <si>
    <t>용도 및 스펙 특성</t>
  </si>
  <si>
    <t>단위</t>
  </si>
  <si>
    <t>연간 판매량</t>
  </si>
  <si>
    <t>공급단가(원)</t>
  </si>
  <si>
    <t>연간 판매대금(원)</t>
  </si>
  <si>
    <t>매출 비중</t>
  </si>
  <si>
    <t>마진율</t>
  </si>
  <si>
    <t>MT-CL100</t>
  </si>
  <si>
    <t>CleanMetal-X100</t>
  </si>
  <si>
    <t>고기능성 표면금속세정제 (수계 정밀세정/특허출원)</t>
  </si>
  <si>
    <t>kg</t>
  </si>
  <si>
    <t>삼성SDI, SK온, 포스코케미칼</t>
  </si>
  <si>
    <t>MT-PR03</t>
  </si>
  <si>
    <t>PhotoResist-G3</t>
  </si>
  <si>
    <t>반도체/디스플레이용 초고순도 감광소재</t>
  </si>
  <si>
    <t>SK하이닉스, DB하이텍</t>
  </si>
  <si>
    <t>MT-HB05</t>
  </si>
  <si>
    <t>HydroBinder-B5</t>
  </si>
  <si>
    <t>이차전지 음극용 고접착 수계 바인더 첨가제</t>
  </si>
  <si>
    <t>LG에너지솔루션, 에코프로비엠</t>
  </si>
  <si>
    <t>MT-NS07</t>
  </si>
  <si>
    <t>NanoShield-S7</t>
  </si>
  <si>
    <t>방열/전자파 차폐 고분자 복합 나노신소재</t>
  </si>
  <si>
    <t>현대모비스, 한화솔루션</t>
  </si>
  <si>
    <t/>
  </si>
  <si>
    <t>합계 (Total)</t>
  </si>
  <si>
    <t>■ 2025 분기별(Q1~Q4) 소재별 매출 추이 요약 (단위: 백만원)</t>
  </si>
  <si>
    <t>소재명</t>
  </si>
  <si>
    <t>1분기(1Q)</t>
  </si>
  <si>
    <t>2분기(2Q)</t>
  </si>
  <si>
    <t>3분기(3Q)</t>
  </si>
  <si>
    <t>4분기(4Q)</t>
  </si>
  <si>
    <t>연간 누적</t>
  </si>
  <si>
    <t>전년비(YoY)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</si>
</sst>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₩#,##0"/>
    <numFmt numFmtId="165" formatCode="#,##0&quot; kg&quot;"/>
    <numFmt numFmtId="166" formatCode="0.0%"/>
    <numFmt numFmtId="167" formatCode="#,##0.0"/>
    <numFmt numFmtId="168" formatCode="+0.0%;-0.0%;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맑은 고딕"/>
    </font>
    <font>
      <i/>
      <color rgb="FF595959"/>
      <sz val="10"/>
      <name val="맑은 고딕"/>
    </font>
    <font>
      <color rgb="FF595959"/>
      <sz val="9"/>
      <name val="맑은 고딕"/>
    </font>
    <font>
      <b/>
      <color rgb="FF1F4E79"/>
      <sz val="13"/>
      <name val="맑은 고딕"/>
    </font>
    <font>
      <b/>
      <color rgb="FFFFFFFF"/>
      <sz val="10"/>
      <name val="맑은 고딕"/>
    </font>
    <font>
      <b/>
    </font>
    <font>
      <b/>
      <color rgb="FF1F4E79"/>
      <sz val="10"/>
      <name val="맑은 고딕"/>
    </font>
    <font>
      <b/>
      <color rgb="FF1F4E79"/>
      <sz val="11"/>
      <name val="맑은 고딕"/>
    </font>
    <font>
      <b/>
      <color rgb="FFFFFFFF"/>
      <sz val="9"/>
      <name val="맑은 고딕"/>
    </font>
    <font>
      <b/>
      <color rgb="FF385723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F9FAFC"/>
      </patternFill>
    </fill>
    <fill>
      <patternFill patternType="solid">
        <fgColor rgb="FFD9E1F2"/>
      </patternFill>
    </fill>
    <fill>
      <patternFill patternType="solid">
        <fgColor rgb="FF595959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1F4E7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E1F2"/>
      </left>
      <right style="thin">
        <color rgb="FFD9E1F2"/>
      </right>
      <top style="thin">
        <color rgb="FF8EA9DB"/>
      </top>
      <bottom style="double">
        <color rgb="FF1F4E7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" fillId="0" borderId="2" xfId="0" applyFont="1" applyBorder="1"/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  <xf numFmtId="164" fontId="6" fillId="0" borderId="2" xfId="0" applyNumberFormat="1" applyFont="1" applyBorder="1"/>
    <xf numFmtId="166" fontId="0" fillId="0" borderId="2" xfId="0" applyNumberFormat="1" applyBorder="1"/>
    <xf numFmtId="0" fontId="0" fillId="5" borderId="2" xfId="0" applyFill="1" applyBorder="1" applyAlignment="1">
      <alignment horizontal="center"/>
    </xf>
    <xf numFmtId="0" fontId="6" fillId="5" borderId="2" xfId="0" applyFont="1" applyFill="1" applyBorder="1"/>
    <xf numFmtId="0" fontId="0" fillId="5" borderId="2" xfId="0" applyFill="1" applyBorder="1"/>
    <xf numFmtId="3" fontId="0" fillId="5" borderId="2" xfId="0" applyNumberFormat="1" applyFill="1" applyBorder="1"/>
    <xf numFmtId="164" fontId="0" fillId="5" borderId="2" xfId="0" applyNumberFormat="1" applyFill="1" applyBorder="1"/>
    <xf numFmtId="164" fontId="6" fillId="5" borderId="2" xfId="0" applyNumberFormat="1" applyFont="1" applyFill="1" applyBorder="1"/>
    <xf numFmtId="166" fontId="0" fillId="5" borderId="2" xfId="0" applyNumberFormat="1" applyFill="1" applyBorder="1"/>
    <xf numFmtId="0" fontId="7" fillId="6" borderId="3" xfId="0" applyFont="1" applyFill="1" applyBorder="1"/>
    <xf numFmtId="3" fontId="7" fillId="6" borderId="3" xfId="0" applyNumberFormat="1" applyFont="1" applyFill="1" applyBorder="1"/>
    <xf numFmtId="164" fontId="7" fillId="6" borderId="3" xfId="0" applyNumberFormat="1" applyFont="1" applyFill="1" applyBorder="1"/>
    <xf numFmtId="166" fontId="7" fillId="6" borderId="3" xfId="0" applyNumberFormat="1" applyFont="1" applyFill="1" applyBorder="1"/>
    <xf numFmtId="0" fontId="8" fillId="0" borderId="0" xfId="0" applyFont="1"/>
    <xf numFmtId="0" fontId="9" fillId="7" borderId="0" xfId="0" applyFont="1" applyFill="1" applyAlignment="1">
      <alignment horizontal="center" vertical="center"/>
    </xf>
    <xf numFmtId="167" fontId="0" fillId="0" borderId="2" xfId="0" applyNumberFormat="1" applyBorder="1"/>
    <xf numFmtId="168" fontId="1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workbookViewId="0"/>
  </sheetViews>
  <sheetFormatPr defaultRowHeight="15" outlineLevelRow="0" outlineLevelCol="0" x14ac:dyDescent="55"/>
  <cols>
    <col min="1" max="1" width="6" customWidth="1"/>
    <col min="2" max="2" width="8" customWidth="1"/>
    <col min="3" max="3" width="15" customWidth="1"/>
    <col min="4" max="4" width="22" customWidth="1"/>
    <col min="5" max="5" width="44" customWidth="1"/>
    <col min="6" max="6" width="8" customWidth="1"/>
    <col min="7" max="7" width="14" customWidth="1"/>
    <col min="8" max="8" width="15" customWidth="1"/>
    <col min="9" max="9" width="20" customWidth="1"/>
    <col min="10" max="11" width="12" customWidth="1"/>
    <col min="12" max="12" width="34" customWidth="1"/>
  </cols>
  <sheetData>
    <row r="2" ht="36" customHeight="1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ht="20" customHeight="1" spans="2:11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spans="2:8" x14ac:dyDescent="0.25">
      <c r="B5" s="3" t="s">
        <v>2</v>
      </c>
      <c r="D5" s="3" t="s">
        <v>3</v>
      </c>
      <c r="F5" s="3" t="s">
        <v>4</v>
      </c>
      <c r="H5" s="3" t="s">
        <v>5</v>
      </c>
    </row>
    <row r="6" spans="2:8" x14ac:dyDescent="0.25">
      <c r="B6" s="4">
        <f>H13</f>
      </c>
      <c r="D6" s="5">
        <f>F13</f>
      </c>
      <c r="F6" s="6" t="s">
        <v>6</v>
      </c>
      <c r="H6" s="7">
        <f>AVERAGE(J9:J12)</f>
      </c>
    </row>
    <row r="8" ht="28" customHeight="1" spans="1:11" x14ac:dyDescent="0.25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4</v>
      </c>
    </row>
    <row r="9" ht="24" customHeight="1" spans="1:11" x14ac:dyDescent="0.25">
      <c r="A9" s="9">
        <v>1</v>
      </c>
      <c r="B9" s="9" t="s">
        <v>17</v>
      </c>
      <c r="C9" s="10" t="s">
        <v>18</v>
      </c>
      <c r="D9" s="11" t="s">
        <v>19</v>
      </c>
      <c r="E9" s="9" t="s">
        <v>20</v>
      </c>
      <c r="F9" s="12">
        <v>48000</v>
      </c>
      <c r="G9" s="13">
        <v>32000</v>
      </c>
      <c r="H9" s="14">
        <f>F9*G9</f>
      </c>
      <c r="I9" s="15">
        <f>H9/$H$13</f>
      </c>
      <c r="J9" s="15">
        <v>0.285</v>
      </c>
      <c r="K9" s="11" t="s">
        <v>21</v>
      </c>
    </row>
    <row r="10" ht="24" customHeight="1" spans="1:11" x14ac:dyDescent="0.25">
      <c r="A10" s="16">
        <v>2</v>
      </c>
      <c r="B10" s="16" t="s">
        <v>22</v>
      </c>
      <c r="C10" s="17" t="s">
        <v>23</v>
      </c>
      <c r="D10" s="18" t="s">
        <v>24</v>
      </c>
      <c r="E10" s="16" t="s">
        <v>20</v>
      </c>
      <c r="F10" s="19">
        <v>18500</v>
      </c>
      <c r="G10" s="20">
        <v>85000</v>
      </c>
      <c r="H10" s="21">
        <f>F10*G10</f>
      </c>
      <c r="I10" s="22">
        <f>H10/$H$13</f>
      </c>
      <c r="J10" s="22">
        <v>0.312</v>
      </c>
      <c r="K10" s="18" t="s">
        <v>25</v>
      </c>
    </row>
    <row r="11" ht="24" customHeight="1" spans="1:11" x14ac:dyDescent="0.25">
      <c r="A11" s="9">
        <v>3</v>
      </c>
      <c r="B11" s="9" t="s">
        <v>26</v>
      </c>
      <c r="C11" s="10" t="s">
        <v>27</v>
      </c>
      <c r="D11" s="11" t="s">
        <v>28</v>
      </c>
      <c r="E11" s="9" t="s">
        <v>20</v>
      </c>
      <c r="F11" s="12">
        <v>52000</v>
      </c>
      <c r="G11" s="13">
        <v>19500</v>
      </c>
      <c r="H11" s="14">
        <f>F11*G11</f>
      </c>
      <c r="I11" s="15">
        <f>H11/$H$13</f>
      </c>
      <c r="J11" s="15">
        <v>0.224</v>
      </c>
      <c r="K11" s="11" t="s">
        <v>29</v>
      </c>
    </row>
    <row r="12" ht="24" customHeight="1" spans="1:11" x14ac:dyDescent="0.25">
      <c r="A12" s="16">
        <v>4</v>
      </c>
      <c r="B12" s="16" t="s">
        <v>30</v>
      </c>
      <c r="C12" s="17" t="s">
        <v>31</v>
      </c>
      <c r="D12" s="18" t="s">
        <v>32</v>
      </c>
      <c r="E12" s="16" t="s">
        <v>20</v>
      </c>
      <c r="F12" s="19">
        <v>24000</v>
      </c>
      <c r="G12" s="20">
        <v>29250</v>
      </c>
      <c r="H12" s="21">
        <f>F12*G12</f>
      </c>
      <c r="I12" s="22">
        <f>H12/$H$13</f>
      </c>
      <c r="J12" s="22">
        <v>0.196</v>
      </c>
      <c r="K12" s="18" t="s">
        <v>33</v>
      </c>
    </row>
    <row r="13" ht="26" customHeight="1" spans="1:11" x14ac:dyDescent="0.25">
      <c r="A13" s="23" t="s">
        <v>34</v>
      </c>
      <c r="B13" s="23" t="s">
        <v>34</v>
      </c>
      <c r="C13" s="23" t="s">
        <v>35</v>
      </c>
      <c r="D13" s="23"/>
      <c r="E13" s="23"/>
      <c r="F13" s="24">
        <f>SUM(F9:F12)</f>
      </c>
      <c r="G13" s="23"/>
      <c r="H13" s="25">
        <f>SUM(H9:H12)</f>
      </c>
      <c r="I13" s="26">
        <f>SUM(I9:I12)</f>
      </c>
      <c r="J13" s="26">
        <f>AVERAGE(J9:J12)</f>
      </c>
      <c r="K13" s="23"/>
    </row>
    <row r="16" spans="2:2" x14ac:dyDescent="0.25">
      <c r="B16" s="27" t="s">
        <v>36</v>
      </c>
    </row>
    <row r="17" ht="22" customHeight="1" spans="2:8" x14ac:dyDescent="0.25">
      <c r="B17" s="28" t="s">
        <v>37</v>
      </c>
      <c r="C17" s="28" t="s">
        <v>38</v>
      </c>
      <c r="D17" s="28" t="s">
        <v>39</v>
      </c>
      <c r="E17" s="28" t="s">
        <v>40</v>
      </c>
      <c r="F17" s="28" t="s">
        <v>41</v>
      </c>
      <c r="G17" s="28" t="s">
        <v>42</v>
      </c>
      <c r="H17" s="28" t="s">
        <v>43</v>
      </c>
    </row>
    <row r="18" ht="20" customHeight="1" spans="2:8" x14ac:dyDescent="0.25">
      <c r="B18" s="10" t="s">
        <v>18</v>
      </c>
      <c r="C18" s="29">
        <v>320</v>
      </c>
      <c r="D18" s="29">
        <v>375</v>
      </c>
      <c r="E18" s="29">
        <v>410</v>
      </c>
      <c r="F18" s="29">
        <v>431</v>
      </c>
      <c r="G18" s="29">
        <v>1536</v>
      </c>
      <c r="H18" s="30">
        <v>0.168</v>
      </c>
    </row>
    <row r="19" ht="20" customHeight="1" spans="2:8" x14ac:dyDescent="0.25">
      <c r="B19" s="10" t="s">
        <v>23</v>
      </c>
      <c r="C19" s="29">
        <v>350</v>
      </c>
      <c r="D19" s="29">
        <v>390</v>
      </c>
      <c r="E19" s="29">
        <v>405</v>
      </c>
      <c r="F19" s="29">
        <v>427.5</v>
      </c>
      <c r="G19" s="29">
        <v>1572.5</v>
      </c>
      <c r="H19" s="30">
        <v>0.245</v>
      </c>
    </row>
    <row r="20" ht="20" customHeight="1" spans="2:8" x14ac:dyDescent="0.25">
      <c r="B20" s="10" t="s">
        <v>27</v>
      </c>
      <c r="C20" s="29">
        <v>210</v>
      </c>
      <c r="D20" s="29">
        <v>245</v>
      </c>
      <c r="E20" s="29">
        <v>270</v>
      </c>
      <c r="F20" s="29">
        <v>289</v>
      </c>
      <c r="G20" s="29">
        <v>1014</v>
      </c>
      <c r="H20" s="30">
        <v>0.321</v>
      </c>
    </row>
    <row r="21" ht="20" customHeight="1" spans="2:8" x14ac:dyDescent="0.25">
      <c r="B21" s="10" t="s">
        <v>31</v>
      </c>
      <c r="C21" s="29">
        <v>155</v>
      </c>
      <c r="D21" s="29">
        <v>172</v>
      </c>
      <c r="E21" s="29">
        <v>185</v>
      </c>
      <c r="F21" s="29">
        <v>190</v>
      </c>
      <c r="G21" s="29">
        <v>702</v>
      </c>
      <c r="H21" s="30">
        <v>0.114</v>
      </c>
    </row>
  </sheetData>
  <mergeCells count="2">
    <mergeCell ref="B2:K2"/>
    <mergeCell ref="B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소재별 판매실적 종합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박정재 (Park Jung Jae)</dc:creator>
  <dc:title/>
  <dc:subject/>
  <dc:description/>
  <cp:keywords/>
  <cp:category/>
  <cp:lastModifiedBy>박정재</cp:lastModifiedBy>
  <dcterms:created xsi:type="dcterms:W3CDTF">2026-09-27T09:16:53Z</dcterms:created>
  <dcterms:modified xsi:type="dcterms:W3CDTF">2026-09-27T09:16:53Z</dcterms:modified>
</cp:coreProperties>
</file>